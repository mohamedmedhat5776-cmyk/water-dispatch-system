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musandam\New Water bot\"/>
    </mc:Choice>
  </mc:AlternateContent>
  <xr:revisionPtr revIDLastSave="0" documentId="13_ncr:1_{5EEFD8F5-5A50-4E57-85AF-80C60C2E5856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Dispatch instruction" sheetId="1" r:id="rId1"/>
    <sheet name=" Daily Dispatch" sheetId="2" r:id="rId2"/>
    <sheet name="Water Quantity" sheetId="3" r:id="rId3"/>
    <sheet name="Water Quality" sheetId="4" r:id="rId4"/>
    <sheet name=" Monthly production" sheetId="5" r:id="rId5"/>
    <sheet name="Second meter produ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6" l="1"/>
  <c r="F40" i="6"/>
  <c r="D40" i="6"/>
  <c r="K38" i="6"/>
  <c r="J38" i="6"/>
  <c r="H38" i="6"/>
  <c r="F38" i="6"/>
  <c r="D38" i="6"/>
  <c r="J37" i="6"/>
  <c r="H37" i="6"/>
  <c r="F37" i="6"/>
  <c r="K37" i="6" s="1"/>
  <c r="D37" i="6"/>
  <c r="J36" i="6"/>
  <c r="H36" i="6"/>
  <c r="K36" i="6" s="1"/>
  <c r="F36" i="6"/>
  <c r="D36" i="6"/>
  <c r="J35" i="6"/>
  <c r="H35" i="6"/>
  <c r="F35" i="6"/>
  <c r="D35" i="6"/>
  <c r="K35" i="6" s="1"/>
  <c r="J34" i="6"/>
  <c r="H34" i="6"/>
  <c r="F34" i="6"/>
  <c r="D34" i="6"/>
  <c r="K34" i="6" s="1"/>
  <c r="J33" i="6"/>
  <c r="H33" i="6"/>
  <c r="F33" i="6"/>
  <c r="D33" i="6"/>
  <c r="K33" i="6" s="1"/>
  <c r="J32" i="6"/>
  <c r="H32" i="6"/>
  <c r="F32" i="6"/>
  <c r="D32" i="6"/>
  <c r="K32" i="6" s="1"/>
  <c r="J31" i="6"/>
  <c r="K31" i="6" s="1"/>
  <c r="H31" i="6"/>
  <c r="F31" i="6"/>
  <c r="D31" i="6"/>
  <c r="J30" i="6"/>
  <c r="H30" i="6"/>
  <c r="F30" i="6"/>
  <c r="D30" i="6"/>
  <c r="K30" i="6" s="1"/>
  <c r="J29" i="6"/>
  <c r="H29" i="6"/>
  <c r="F29" i="6"/>
  <c r="K29" i="6" s="1"/>
  <c r="D29" i="6"/>
  <c r="J28" i="6"/>
  <c r="H28" i="6"/>
  <c r="F28" i="6"/>
  <c r="D28" i="6"/>
  <c r="K28" i="6" s="1"/>
  <c r="J27" i="6"/>
  <c r="H27" i="6"/>
  <c r="F27" i="6"/>
  <c r="D27" i="6"/>
  <c r="K27" i="6" s="1"/>
  <c r="K26" i="6"/>
  <c r="J26" i="6"/>
  <c r="H26" i="6"/>
  <c r="F26" i="6"/>
  <c r="D26" i="6"/>
  <c r="J25" i="6"/>
  <c r="H25" i="6"/>
  <c r="F25" i="6"/>
  <c r="K25" i="6" s="1"/>
  <c r="D25" i="6"/>
  <c r="J24" i="6"/>
  <c r="H24" i="6"/>
  <c r="K24" i="6" s="1"/>
  <c r="F24" i="6"/>
  <c r="D24" i="6"/>
  <c r="J23" i="6"/>
  <c r="H23" i="6"/>
  <c r="F23" i="6"/>
  <c r="D23" i="6"/>
  <c r="K23" i="6" s="1"/>
  <c r="J22" i="6"/>
  <c r="H22" i="6"/>
  <c r="F22" i="6"/>
  <c r="D22" i="6"/>
  <c r="K22" i="6" s="1"/>
  <c r="J21" i="6"/>
  <c r="H21" i="6"/>
  <c r="F21" i="6"/>
  <c r="D21" i="6"/>
  <c r="K21" i="6" s="1"/>
  <c r="J20" i="6"/>
  <c r="H20" i="6"/>
  <c r="F20" i="6"/>
  <c r="D20" i="6"/>
  <c r="K20" i="6" s="1"/>
  <c r="J19" i="6"/>
  <c r="K19" i="6" s="1"/>
  <c r="H19" i="6"/>
  <c r="F19" i="6"/>
  <c r="D19" i="6"/>
  <c r="J18" i="6"/>
  <c r="H18" i="6"/>
  <c r="F18" i="6"/>
  <c r="D18" i="6"/>
  <c r="K18" i="6" s="1"/>
  <c r="J17" i="6"/>
  <c r="H17" i="6"/>
  <c r="F17" i="6"/>
  <c r="K17" i="6" s="1"/>
  <c r="D17" i="6"/>
  <c r="J16" i="6"/>
  <c r="H16" i="6"/>
  <c r="F16" i="6"/>
  <c r="D16" i="6"/>
  <c r="K16" i="6" s="1"/>
  <c r="J15" i="6"/>
  <c r="H15" i="6"/>
  <c r="F15" i="6"/>
  <c r="D15" i="6"/>
  <c r="K15" i="6" s="1"/>
  <c r="K14" i="6"/>
  <c r="J14" i="6"/>
  <c r="H14" i="6"/>
  <c r="F14" i="6"/>
  <c r="D14" i="6"/>
  <c r="J13" i="6"/>
  <c r="H13" i="6"/>
  <c r="F13" i="6"/>
  <c r="K13" i="6" s="1"/>
  <c r="D13" i="6"/>
  <c r="J12" i="6"/>
  <c r="H12" i="6"/>
  <c r="K12" i="6" s="1"/>
  <c r="F12" i="6"/>
  <c r="D12" i="6"/>
  <c r="J11" i="6"/>
  <c r="H11" i="6"/>
  <c r="F11" i="6"/>
  <c r="D11" i="6"/>
  <c r="K11" i="6" s="1"/>
  <c r="J10" i="6"/>
  <c r="H10" i="6"/>
  <c r="H40" i="6" s="1"/>
  <c r="F10" i="6"/>
  <c r="D10" i="6"/>
  <c r="K10" i="6" s="1"/>
  <c r="J9" i="6"/>
  <c r="H9" i="6"/>
  <c r="F9" i="6"/>
  <c r="D9" i="6"/>
  <c r="K9" i="6" s="1"/>
  <c r="K6" i="6"/>
  <c r="K38" i="5"/>
  <c r="J38" i="5"/>
  <c r="H38" i="5"/>
  <c r="F38" i="5"/>
  <c r="D38" i="5"/>
  <c r="J37" i="5"/>
  <c r="H37" i="5"/>
  <c r="F37" i="5"/>
  <c r="K37" i="5" s="1"/>
  <c r="D37" i="5"/>
  <c r="J36" i="5"/>
  <c r="H36" i="5"/>
  <c r="K36" i="5" s="1"/>
  <c r="F36" i="5"/>
  <c r="D36" i="5"/>
  <c r="J35" i="5"/>
  <c r="H35" i="5"/>
  <c r="F35" i="5"/>
  <c r="D35" i="5"/>
  <c r="K35" i="5" s="1"/>
  <c r="J34" i="5"/>
  <c r="H34" i="5"/>
  <c r="F34" i="5"/>
  <c r="D34" i="5"/>
  <c r="K34" i="5" s="1"/>
  <c r="J33" i="5"/>
  <c r="H33" i="5"/>
  <c r="F33" i="5"/>
  <c r="D33" i="5"/>
  <c r="K33" i="5" s="1"/>
  <c r="J32" i="5"/>
  <c r="H32" i="5"/>
  <c r="F32" i="5"/>
  <c r="D32" i="5"/>
  <c r="K32" i="5" s="1"/>
  <c r="J31" i="5"/>
  <c r="K31" i="5" s="1"/>
  <c r="H31" i="5"/>
  <c r="F31" i="5"/>
  <c r="D31" i="5"/>
  <c r="J30" i="5"/>
  <c r="H30" i="5"/>
  <c r="F30" i="5"/>
  <c r="D30" i="5"/>
  <c r="K30" i="5" s="1"/>
  <c r="J29" i="5"/>
  <c r="H29" i="5"/>
  <c r="F29" i="5"/>
  <c r="K29" i="5" s="1"/>
  <c r="D29" i="5"/>
  <c r="J28" i="5"/>
  <c r="H28" i="5"/>
  <c r="F28" i="5"/>
  <c r="D28" i="5"/>
  <c r="K28" i="5" s="1"/>
  <c r="J27" i="5"/>
  <c r="H27" i="5"/>
  <c r="F27" i="5"/>
  <c r="D27" i="5"/>
  <c r="K27" i="5" s="1"/>
  <c r="K26" i="5"/>
  <c r="J26" i="5"/>
  <c r="H26" i="5"/>
  <c r="F26" i="5"/>
  <c r="D26" i="5"/>
  <c r="J25" i="5"/>
  <c r="H25" i="5"/>
  <c r="F25" i="5"/>
  <c r="K25" i="5" s="1"/>
  <c r="D25" i="5"/>
  <c r="J24" i="5"/>
  <c r="H24" i="5"/>
  <c r="K24" i="5" s="1"/>
  <c r="F24" i="5"/>
  <c r="D24" i="5"/>
  <c r="J23" i="5"/>
  <c r="H23" i="5"/>
  <c r="F23" i="5"/>
  <c r="D23" i="5"/>
  <c r="K23" i="5" s="1"/>
  <c r="J22" i="5"/>
  <c r="H22" i="5"/>
  <c r="F22" i="5"/>
  <c r="D22" i="5"/>
  <c r="K22" i="5" s="1"/>
  <c r="J21" i="5"/>
  <c r="H21" i="5"/>
  <c r="F21" i="5"/>
  <c r="D21" i="5"/>
  <c r="K21" i="5" s="1"/>
  <c r="J20" i="5"/>
  <c r="H20" i="5"/>
  <c r="F20" i="5"/>
  <c r="D20" i="5"/>
  <c r="K20" i="5" s="1"/>
  <c r="J19" i="5"/>
  <c r="K19" i="5" s="1"/>
  <c r="H19" i="5"/>
  <c r="F19" i="5"/>
  <c r="D19" i="5"/>
  <c r="J18" i="5"/>
  <c r="H18" i="5"/>
  <c r="F18" i="5"/>
  <c r="D18" i="5"/>
  <c r="K18" i="5" s="1"/>
  <c r="J17" i="5"/>
  <c r="H17" i="5"/>
  <c r="F17" i="5"/>
  <c r="K17" i="5" s="1"/>
  <c r="D17" i="5"/>
  <c r="J16" i="5"/>
  <c r="H16" i="5"/>
  <c r="F16" i="5"/>
  <c r="D16" i="5"/>
  <c r="K16" i="5" s="1"/>
  <c r="J15" i="5"/>
  <c r="H15" i="5"/>
  <c r="F15" i="5"/>
  <c r="D15" i="5"/>
  <c r="K15" i="5" s="1"/>
  <c r="K14" i="5"/>
  <c r="J14" i="5"/>
  <c r="H14" i="5"/>
  <c r="F14" i="5"/>
  <c r="D14" i="5"/>
  <c r="J13" i="5"/>
  <c r="H13" i="5"/>
  <c r="F13" i="5"/>
  <c r="K13" i="5" s="1"/>
  <c r="D13" i="5"/>
  <c r="J12" i="5"/>
  <c r="J40" i="5" s="1"/>
  <c r="H12" i="5"/>
  <c r="K12" i="5" s="1"/>
  <c r="F12" i="5"/>
  <c r="D12" i="5"/>
  <c r="J11" i="5"/>
  <c r="H11" i="5"/>
  <c r="F11" i="5"/>
  <c r="D11" i="5"/>
  <c r="K11" i="5" s="1"/>
  <c r="J10" i="5"/>
  <c r="H10" i="5"/>
  <c r="H40" i="5" s="1"/>
  <c r="F10" i="5"/>
  <c r="F40" i="5" s="1"/>
  <c r="D10" i="5"/>
  <c r="K10" i="5" s="1"/>
  <c r="J9" i="5"/>
  <c r="H9" i="5"/>
  <c r="F9" i="5"/>
  <c r="D9" i="5"/>
  <c r="K9" i="5" s="1"/>
  <c r="K6" i="5"/>
  <c r="F10" i="3"/>
  <c r="F11" i="3" s="1"/>
  <c r="F9" i="3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AL81" i="2" s="1"/>
  <c r="L81" i="2"/>
  <c r="K81" i="2"/>
  <c r="J81" i="2"/>
  <c r="I81" i="2"/>
  <c r="H81" i="2"/>
  <c r="G81" i="2"/>
  <c r="E80" i="2"/>
  <c r="D80" i="2"/>
  <c r="AM79" i="2"/>
  <c r="AL79" i="2"/>
  <c r="F79" i="2"/>
  <c r="AL78" i="2"/>
  <c r="AM78" i="2" s="1"/>
  <c r="F78" i="2"/>
  <c r="AM77" i="2"/>
  <c r="AL77" i="2"/>
  <c r="F77" i="2"/>
  <c r="AL76" i="2"/>
  <c r="AM76" i="2" s="1"/>
  <c r="F76" i="2"/>
  <c r="AM75" i="2"/>
  <c r="AL75" i="2"/>
  <c r="F75" i="2"/>
  <c r="AL74" i="2"/>
  <c r="AM74" i="2" s="1"/>
  <c r="F74" i="2"/>
  <c r="AM73" i="2"/>
  <c r="AL73" i="2"/>
  <c r="F73" i="2"/>
  <c r="AL72" i="2"/>
  <c r="AM72" i="2" s="1"/>
  <c r="F72" i="2"/>
  <c r="AM71" i="2"/>
  <c r="AL71" i="2"/>
  <c r="F71" i="2"/>
  <c r="AL70" i="2"/>
  <c r="AM70" i="2" s="1"/>
  <c r="F70" i="2"/>
  <c r="AM69" i="2"/>
  <c r="AL69" i="2"/>
  <c r="F69" i="2"/>
  <c r="AL68" i="2"/>
  <c r="AM68" i="2" s="1"/>
  <c r="F68" i="2"/>
  <c r="AM67" i="2"/>
  <c r="AL67" i="2"/>
  <c r="F67" i="2"/>
  <c r="AL66" i="2"/>
  <c r="AM66" i="2" s="1"/>
  <c r="F66" i="2"/>
  <c r="AM65" i="2"/>
  <c r="AL65" i="2"/>
  <c r="F65" i="2"/>
  <c r="AL64" i="2"/>
  <c r="AM64" i="2" s="1"/>
  <c r="F64" i="2"/>
  <c r="AM63" i="2"/>
  <c r="AL63" i="2"/>
  <c r="F63" i="2"/>
  <c r="AL62" i="2"/>
  <c r="AM62" i="2" s="1"/>
  <c r="F62" i="2"/>
  <c r="AM61" i="2"/>
  <c r="AL61" i="2"/>
  <c r="F61" i="2"/>
  <c r="AL60" i="2"/>
  <c r="AM60" i="2" s="1"/>
  <c r="F60" i="2"/>
  <c r="AM59" i="2"/>
  <c r="AL59" i="2"/>
  <c r="F59" i="2"/>
  <c r="AL58" i="2"/>
  <c r="AM58" i="2" s="1"/>
  <c r="F58" i="2"/>
  <c r="AM57" i="2"/>
  <c r="AL57" i="2"/>
  <c r="F57" i="2"/>
  <c r="AL56" i="2"/>
  <c r="AM56" i="2" s="1"/>
  <c r="F56" i="2"/>
  <c r="AM55" i="2"/>
  <c r="AL55" i="2"/>
  <c r="F55" i="2"/>
  <c r="AL54" i="2"/>
  <c r="AM54" i="2" s="1"/>
  <c r="F54" i="2"/>
  <c r="AM53" i="2"/>
  <c r="AL53" i="2"/>
  <c r="F53" i="2"/>
  <c r="AL52" i="2"/>
  <c r="AM52" i="2" s="1"/>
  <c r="F52" i="2"/>
  <c r="AM51" i="2"/>
  <c r="AL51" i="2"/>
  <c r="F51" i="2"/>
  <c r="AL50" i="2"/>
  <c r="AM50" i="2" s="1"/>
  <c r="F50" i="2"/>
  <c r="AM49" i="2"/>
  <c r="AL49" i="2"/>
  <c r="F49" i="2"/>
  <c r="AL48" i="2"/>
  <c r="AM48" i="2" s="1"/>
  <c r="F48" i="2"/>
  <c r="AM47" i="2"/>
  <c r="AL47" i="2"/>
  <c r="F47" i="2"/>
  <c r="AL46" i="2"/>
  <c r="AM46" i="2" s="1"/>
  <c r="F46" i="2"/>
  <c r="AM45" i="2"/>
  <c r="AL45" i="2"/>
  <c r="F45" i="2"/>
  <c r="AL44" i="2"/>
  <c r="AM44" i="2" s="1"/>
  <c r="F44" i="2"/>
  <c r="AM43" i="2"/>
  <c r="AL43" i="2"/>
  <c r="F43" i="2"/>
  <c r="AL42" i="2"/>
  <c r="AM42" i="2" s="1"/>
  <c r="F42" i="2"/>
  <c r="AM41" i="2"/>
  <c r="AL41" i="2"/>
  <c r="AL40" i="2"/>
  <c r="AM40" i="2" s="1"/>
  <c r="F40" i="2"/>
  <c r="AL39" i="2"/>
  <c r="AM39" i="2" s="1"/>
  <c r="F39" i="2"/>
  <c r="AL38" i="2"/>
  <c r="AM38" i="2" s="1"/>
  <c r="F38" i="2"/>
  <c r="AL37" i="2"/>
  <c r="AM37" i="2" s="1"/>
  <c r="F37" i="2"/>
  <c r="AL36" i="2"/>
  <c r="AM36" i="2" s="1"/>
  <c r="F36" i="2"/>
  <c r="AL35" i="2"/>
  <c r="AM35" i="2" s="1"/>
  <c r="F35" i="2"/>
  <c r="AL34" i="2"/>
  <c r="AM34" i="2" s="1"/>
  <c r="F34" i="2"/>
  <c r="AL33" i="2"/>
  <c r="AM33" i="2" s="1"/>
  <c r="F33" i="2"/>
  <c r="AL32" i="2"/>
  <c r="AM32" i="2" s="1"/>
  <c r="F32" i="2"/>
  <c r="AL31" i="2"/>
  <c r="AM31" i="2" s="1"/>
  <c r="F31" i="2"/>
  <c r="AL30" i="2"/>
  <c r="AM30" i="2" s="1"/>
  <c r="F30" i="2"/>
  <c r="AL29" i="2"/>
  <c r="AM29" i="2" s="1"/>
  <c r="F29" i="2"/>
  <c r="AL28" i="2"/>
  <c r="AM28" i="2" s="1"/>
  <c r="F28" i="2"/>
  <c r="AL27" i="2"/>
  <c r="AM27" i="2" s="1"/>
  <c r="F27" i="2"/>
  <c r="AL26" i="2"/>
  <c r="AM26" i="2" s="1"/>
  <c r="F26" i="2"/>
  <c r="AL25" i="2"/>
  <c r="AM25" i="2" s="1"/>
  <c r="F25" i="2"/>
  <c r="AL24" i="2"/>
  <c r="AM24" i="2" s="1"/>
  <c r="F24" i="2"/>
  <c r="AL23" i="2"/>
  <c r="AM23" i="2" s="1"/>
  <c r="F23" i="2"/>
  <c r="AL22" i="2"/>
  <c r="AM22" i="2" s="1"/>
  <c r="F22" i="2"/>
  <c r="AL21" i="2"/>
  <c r="AM21" i="2" s="1"/>
  <c r="F21" i="2"/>
  <c r="AL20" i="2"/>
  <c r="AM20" i="2" s="1"/>
  <c r="F20" i="2"/>
  <c r="AL19" i="2"/>
  <c r="AM19" i="2" s="1"/>
  <c r="F19" i="2"/>
  <c r="AL18" i="2"/>
  <c r="AM18" i="2" s="1"/>
  <c r="F18" i="2"/>
  <c r="AL17" i="2"/>
  <c r="AM17" i="2" s="1"/>
  <c r="F17" i="2"/>
  <c r="AL16" i="2"/>
  <c r="AM16" i="2" s="1"/>
  <c r="F16" i="2"/>
  <c r="AL15" i="2"/>
  <c r="AM15" i="2" s="1"/>
  <c r="F15" i="2"/>
  <c r="AL14" i="2"/>
  <c r="AM14" i="2" s="1"/>
  <c r="F14" i="2"/>
  <c r="AL13" i="2"/>
  <c r="AM13" i="2" s="1"/>
  <c r="F13" i="2"/>
  <c r="AL12" i="2"/>
  <c r="AM12" i="2" s="1"/>
  <c r="F12" i="2"/>
  <c r="AL11" i="2"/>
  <c r="AM11" i="2" s="1"/>
  <c r="F11" i="2"/>
  <c r="AL10" i="2"/>
  <c r="AM10" i="2" s="1"/>
  <c r="F10" i="2"/>
  <c r="AL9" i="2"/>
  <c r="AM9" i="2" s="1"/>
  <c r="F9" i="2"/>
  <c r="AL8" i="2"/>
  <c r="AM8" i="2" s="1"/>
  <c r="F8" i="2"/>
  <c r="AL7" i="2"/>
  <c r="AM7" i="2" s="1"/>
  <c r="F7" i="2"/>
  <c r="AL6" i="2"/>
  <c r="AM6" i="2" s="1"/>
  <c r="F6" i="2"/>
  <c r="AL5" i="2"/>
  <c r="AM5" i="2" s="1"/>
  <c r="F5" i="2"/>
  <c r="AL4" i="2"/>
  <c r="AL80" i="2" s="1"/>
  <c r="F4" i="2"/>
  <c r="F80" i="2" s="1"/>
  <c r="AM80" i="2" l="1"/>
  <c r="K40" i="6"/>
  <c r="K40" i="5"/>
  <c r="D40" i="5"/>
  <c r="AM81" i="2"/>
  <c r="AM4" i="2"/>
</calcChain>
</file>

<file path=xl/sharedStrings.xml><?xml version="1.0" encoding="utf-8"?>
<sst xmlns="http://schemas.openxmlformats.org/spreadsheetml/2006/main" count="433" uniqueCount="181">
  <si>
    <t>Dispatch Quantity</t>
  </si>
  <si>
    <t>Location</t>
  </si>
  <si>
    <t>M³ / Month</t>
  </si>
  <si>
    <t>Hafa</t>
  </si>
  <si>
    <t>Hafa Nakhal</t>
  </si>
  <si>
    <t>Danab</t>
  </si>
  <si>
    <t>Hafa Sheeb</t>
  </si>
  <si>
    <t>Hafa Yadar</t>
  </si>
  <si>
    <t>Khor meha</t>
  </si>
  <si>
    <t>Sanat</t>
  </si>
  <si>
    <t>Khor Meala</t>
  </si>
  <si>
    <t>Sharya Aq</t>
  </si>
  <si>
    <t>Sharya Hel</t>
  </si>
  <si>
    <t>Maysar</t>
  </si>
  <si>
    <t>Addas</t>
  </si>
  <si>
    <t>Sadwain</t>
  </si>
  <si>
    <t>Dess</t>
  </si>
  <si>
    <t>Hekel</t>
  </si>
  <si>
    <t>Deni</t>
  </si>
  <si>
    <t>Aqaba</t>
  </si>
  <si>
    <t>Aimes</t>
  </si>
  <si>
    <t>Aimes Matrah</t>
  </si>
  <si>
    <t>Khesa</t>
  </si>
  <si>
    <t>Mawi</t>
  </si>
  <si>
    <t>Habalain</t>
  </si>
  <si>
    <t>Ghafool</t>
  </si>
  <si>
    <t>Muqaqa</t>
  </si>
  <si>
    <t>Khab Al show</t>
  </si>
  <si>
    <t>Maqlab B</t>
  </si>
  <si>
    <t>Ras Amud Co.</t>
  </si>
  <si>
    <t>Boot</t>
  </si>
  <si>
    <t>Film</t>
  </si>
  <si>
    <t>Najed</t>
  </si>
  <si>
    <t>Mansal</t>
  </si>
  <si>
    <t>Mayat</t>
  </si>
  <si>
    <t>Neba</t>
  </si>
  <si>
    <t>Shaboos</t>
  </si>
  <si>
    <t>Laghwy</t>
  </si>
  <si>
    <t>Maqta</t>
  </si>
  <si>
    <t>Suwayrat</t>
  </si>
  <si>
    <t>Balad</t>
  </si>
  <si>
    <t>Mantaf</t>
  </si>
  <si>
    <t>Al Sebatah</t>
  </si>
  <si>
    <t>Doorsuni</t>
  </si>
  <si>
    <t>Taheet</t>
  </si>
  <si>
    <t>Murwany</t>
  </si>
  <si>
    <t>Sefet Bait</t>
  </si>
  <si>
    <t>Sharyat Shesa</t>
  </si>
  <si>
    <t>Ghub Ali</t>
  </si>
  <si>
    <t>Quffa</t>
  </si>
  <si>
    <t>Akhtaar</t>
  </si>
  <si>
    <t>Shamt</t>
  </si>
  <si>
    <t>Um Al-halaq</t>
  </si>
  <si>
    <t>Sowayra</t>
  </si>
  <si>
    <t>Ghub Qad</t>
  </si>
  <si>
    <t>Ghurm</t>
  </si>
  <si>
    <t>Mazaya Co.</t>
  </si>
  <si>
    <t>Jum</t>
  </si>
  <si>
    <t>Qabba</t>
  </si>
  <si>
    <t>Maqlab Kumzar</t>
  </si>
  <si>
    <t>Fardha</t>
  </si>
  <si>
    <t>Qalta</t>
  </si>
  <si>
    <t>Kheran</t>
  </si>
  <si>
    <t>Maysag</t>
  </si>
  <si>
    <t>Kukba</t>
  </si>
  <si>
    <t>Manjal</t>
  </si>
  <si>
    <t>Jazert Al-Khail</t>
  </si>
  <si>
    <t>Meali</t>
  </si>
  <si>
    <t>Safa</t>
  </si>
  <si>
    <t>Sefat Zangi</t>
  </si>
  <si>
    <t>Jazert Musandam</t>
  </si>
  <si>
    <t>R.Shk.Mas</t>
  </si>
  <si>
    <t>Towalah</t>
  </si>
  <si>
    <t>Aydah</t>
  </si>
  <si>
    <t>Fanakha</t>
  </si>
  <si>
    <t>Humssi</t>
  </si>
  <si>
    <t>Nadheefi</t>
  </si>
  <si>
    <t>Huwenia</t>
  </si>
  <si>
    <t>Qana</t>
  </si>
  <si>
    <t>Al Weser</t>
  </si>
  <si>
    <t>Telegraph Co.</t>
  </si>
  <si>
    <t>Maqlab</t>
  </si>
  <si>
    <t>Sebi</t>
  </si>
  <si>
    <t>Tub</t>
  </si>
  <si>
    <t>Asha</t>
  </si>
  <si>
    <t>Shum</t>
  </si>
  <si>
    <t>Sefat Garib Co</t>
  </si>
  <si>
    <t>Ghassa</t>
  </si>
  <si>
    <t>Ship 2</t>
  </si>
  <si>
    <t>Ship 1</t>
  </si>
  <si>
    <t>Ship 3</t>
  </si>
  <si>
    <t>Ship 4</t>
  </si>
  <si>
    <t>Actual Daily Dispatch m³ for November  2025</t>
  </si>
  <si>
    <t>S.NO</t>
  </si>
  <si>
    <t>Storage capacity</t>
  </si>
  <si>
    <t>Maximum dispach capacity as per contract</t>
  </si>
  <si>
    <t>M³ / Week</t>
  </si>
  <si>
    <t>Total quantity dispatched</t>
  </si>
  <si>
    <t>Balance quantity</t>
  </si>
  <si>
    <t>60(30)*</t>
  </si>
  <si>
    <t>Total</t>
  </si>
  <si>
    <t>Daily dispatch quantity in all sites in m³</t>
  </si>
  <si>
    <t xml:space="preserve">Note: </t>
  </si>
  <si>
    <t>FM 1 taken for above consideration</t>
  </si>
  <si>
    <t>If a ship dispatched in another ship's site, the font color in the cells will be same as color code of the dispatched ship.</t>
  </si>
  <si>
    <t>F - TANK FULL</t>
  </si>
  <si>
    <t>F</t>
  </si>
  <si>
    <t>N - FISH NET</t>
  </si>
  <si>
    <t>N</t>
  </si>
  <si>
    <t>T - TANK CLEANING</t>
  </si>
  <si>
    <t>C</t>
  </si>
  <si>
    <t>H - WEEKLY HOLIDAY</t>
  </si>
  <si>
    <t>H</t>
  </si>
  <si>
    <t>B.W - BAD WEATHER</t>
  </si>
  <si>
    <t>B.W</t>
  </si>
  <si>
    <t>* No dispatch for S.3 on 03/11/2025 due to no complains</t>
  </si>
  <si>
    <t>* No dispatch for S.4 on 03/11/2025 due to no complains</t>
  </si>
  <si>
    <t>* No dispatch for S.4 sites on 09/11/2025 due to no complains</t>
  </si>
  <si>
    <t>* No dispatch for S.2 on 09/11/2025 due to no complains</t>
  </si>
  <si>
    <t>* No dispatch for S.4 sites on 10/11/2025 due to no complains</t>
  </si>
  <si>
    <t>* No dispatch for S.3 on 13/11/2025 due to no complains</t>
  </si>
  <si>
    <t>* No dispatch for S.4 on 18/11/2025 due to no complains</t>
  </si>
  <si>
    <t>* No dispatch for S.3 on 19/11/2025 due to no complains</t>
  </si>
  <si>
    <t>* No dispatch for S.3 on 20/11/2025 due to no complains</t>
  </si>
  <si>
    <t>Al Tayer Engineering Services LLC</t>
  </si>
  <si>
    <t>Water Supply to Coastal Areas in Musandam Governorate</t>
  </si>
  <si>
    <t xml:space="preserve">DAILY REPORT FOR DESALINATION PLANT </t>
  </si>
  <si>
    <t xml:space="preserve">Month &amp; Year </t>
  </si>
  <si>
    <t xml:space="preserve"> BOO WATER PROJECT MUSANDAM </t>
  </si>
  <si>
    <t>Date:22.11.2025</t>
  </si>
  <si>
    <t>Sl.No</t>
  </si>
  <si>
    <t>Flow Meter Location</t>
  </si>
  <si>
    <t xml:space="preserve">Production Range </t>
  </si>
  <si>
    <t xml:space="preserve">INITIAL </t>
  </si>
  <si>
    <t xml:space="preserve">FINAL </t>
  </si>
  <si>
    <t>Volume In M³</t>
  </si>
  <si>
    <t xml:space="preserve">Remarks </t>
  </si>
  <si>
    <t xml:space="preserve">TOTAL </t>
  </si>
  <si>
    <t>Project Manager</t>
  </si>
  <si>
    <t xml:space="preserve">AL TAYER </t>
  </si>
  <si>
    <t>OWWSC</t>
  </si>
  <si>
    <t>Note:</t>
  </si>
  <si>
    <t xml:space="preserve">WATER QUALITY REPORT </t>
  </si>
  <si>
    <t>Date: 22.11.2025</t>
  </si>
  <si>
    <t xml:space="preserve">PARAMETERS </t>
  </si>
  <si>
    <t xml:space="preserve">STANDARD </t>
  </si>
  <si>
    <t xml:space="preserve">PH Value </t>
  </si>
  <si>
    <t>(6.5-8.5)</t>
  </si>
  <si>
    <t xml:space="preserve">Conductivity </t>
  </si>
  <si>
    <t>-</t>
  </si>
  <si>
    <t>TDS (mg/l)</t>
  </si>
  <si>
    <t>(120-600)</t>
  </si>
  <si>
    <t>Residual  Chlorine  (mg/l)</t>
  </si>
  <si>
    <t>(0.2-0.5)</t>
  </si>
  <si>
    <t xml:space="preserve">Turbidity </t>
  </si>
  <si>
    <t>(&gt;1)</t>
  </si>
  <si>
    <t>Temperature  (ºC)</t>
  </si>
  <si>
    <t xml:space="preserve">Remarks : </t>
  </si>
  <si>
    <t xml:space="preserve">Al Tayer Engineering Services LLC </t>
  </si>
  <si>
    <t>MONTHLY WATER PRODUCTION  FOR ALL DESALINATION PLANT FOR THE MONTH OF NOVEMBER -  2025</t>
  </si>
  <si>
    <t>LOCATION</t>
  </si>
  <si>
    <t>TOTAL</t>
  </si>
  <si>
    <t>COMMENT OF THE DAY</t>
  </si>
  <si>
    <t>SHIP 1 FLOW METER PHOTOS</t>
  </si>
  <si>
    <t>SHIP 2 FLOW METER PHOTOS</t>
  </si>
  <si>
    <t>SHIP 3 FLOW METER PHOTOS</t>
  </si>
  <si>
    <t>SHIP 4 FLOW METER PHOTOS</t>
  </si>
  <si>
    <t>PRODUCTION CAPABILITY</t>
  </si>
  <si>
    <t>LAST READING</t>
  </si>
  <si>
    <t>Meter Reading</t>
  </si>
  <si>
    <t>Water Prod.</t>
  </si>
  <si>
    <t>Saturday</t>
  </si>
  <si>
    <t>Sunday</t>
  </si>
  <si>
    <t>NO DISPATCH</t>
  </si>
  <si>
    <t>Monday</t>
  </si>
  <si>
    <t>Tuesday</t>
  </si>
  <si>
    <t>Wednesday</t>
  </si>
  <si>
    <t>Thursday</t>
  </si>
  <si>
    <t>NO NETWORK</t>
  </si>
  <si>
    <t>Friday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</si>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</sst>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\-yy"/>
  </numFmts>
  <fonts count="81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rgb="FF00B050"/>
      <name val="Arial"/>
      <family val="2"/>
    </font>
    <font>
      <sz val="10"/>
      <color theme="1"/>
      <name val="Arial"/>
      <family val="2"/>
    </font>
    <font>
      <b/>
      <sz val="14"/>
      <color theme="7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10"/>
      <color rgb="FF000000"/>
      <name val="Arial"/>
      <family val="2"/>
    </font>
    <font>
      <b/>
      <sz val="14"/>
      <color rgb="FFFFFF00"/>
      <name val="Arial"/>
      <family val="2"/>
    </font>
    <font>
      <b/>
      <sz val="18"/>
      <color theme="1"/>
      <name val="Arial"/>
      <family val="2"/>
    </font>
    <font>
      <b/>
      <sz val="14"/>
      <color theme="8"/>
      <name val="Arial"/>
      <family val="2"/>
    </font>
    <font>
      <b/>
      <sz val="14"/>
      <color rgb="FF38761D"/>
      <name val="Arial"/>
      <family val="2"/>
    </font>
    <font>
      <b/>
      <sz val="14"/>
      <color rgb="FF000000"/>
      <name val="Arial"/>
      <family val="2"/>
    </font>
    <font>
      <b/>
      <sz val="14"/>
      <color rgb="FFFFC499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</font>
    <font>
      <sz val="11"/>
      <color theme="1"/>
      <name val="Arial"/>
      <family val="2"/>
    </font>
    <font>
      <sz val="17"/>
      <color theme="1"/>
      <name val="Calibri"/>
      <family val="2"/>
    </font>
    <font>
      <sz val="11"/>
      <color rgb="FF000000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b/>
      <u/>
      <sz val="12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6"/>
      <color rgb="FFFF0000"/>
      <name val="Calibri"/>
      <family val="2"/>
    </font>
    <font>
      <sz val="11"/>
      <color theme="1"/>
      <name val="Calibri"/>
      <family val="2"/>
    </font>
    <font>
      <b/>
      <sz val="17"/>
      <color theme="1"/>
      <name val="Calibri"/>
      <family val="2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theme="1"/>
      <name val="Calibri"/>
      <family val="2"/>
    </font>
    <font>
      <b/>
      <sz val="10"/>
      <color rgb="FFFF0000"/>
      <name val="Arial"/>
      <family val="2"/>
    </font>
    <font>
      <b/>
      <sz val="10"/>
      <color rgb="FFFF0000"/>
      <name val="Calibri"/>
      <family val="2"/>
    </font>
    <font>
      <sz val="12"/>
      <color theme="1"/>
      <name val="Book Antiqua"/>
      <family val="1"/>
    </font>
    <font>
      <b/>
      <sz val="12"/>
      <color rgb="FFFF0000"/>
      <name val="Book Antiqua"/>
      <family val="1"/>
    </font>
    <font>
      <b/>
      <sz val="12"/>
      <color rgb="FF00B050"/>
      <name val="Book Antiqua"/>
      <family val="1"/>
    </font>
    <font>
      <sz val="8"/>
      <color rgb="FF000000"/>
      <name val="Book Antiqua"/>
      <family val="1"/>
    </font>
    <font>
      <b/>
      <sz val="15"/>
      <color theme="1"/>
      <name val="Book Antiqua"/>
      <family val="1"/>
    </font>
    <font>
      <b/>
      <sz val="18"/>
      <color theme="1"/>
      <name val="Book Antiqua"/>
      <family val="1"/>
    </font>
    <font>
      <b/>
      <sz val="24"/>
      <color theme="1"/>
      <name val="Book Antiqua"/>
      <family val="1"/>
    </font>
    <font>
      <b/>
      <sz val="26"/>
      <color theme="1"/>
      <name val="Book Antiqua"/>
      <family val="1"/>
    </font>
    <font>
      <sz val="30"/>
      <color rgb="FF000000"/>
      <name val="Book Antiqua"/>
      <family val="1"/>
    </font>
    <font>
      <b/>
      <sz val="14"/>
      <color theme="1"/>
      <name val="Book Antiqua"/>
      <family val="1"/>
    </font>
    <font>
      <b/>
      <sz val="16"/>
      <color theme="1"/>
      <name val="Book Antiqua"/>
      <family val="1"/>
    </font>
    <font>
      <b/>
      <sz val="25"/>
      <color theme="1"/>
      <name val="Book Antiqua"/>
      <family val="1"/>
    </font>
    <font>
      <b/>
      <sz val="22"/>
      <color theme="1"/>
      <name val="Book Antiqua"/>
      <family val="1"/>
    </font>
    <font>
      <b/>
      <sz val="10"/>
      <color theme="1"/>
      <name val="Book Antiqua"/>
      <family val="1"/>
    </font>
    <font>
      <b/>
      <sz val="13"/>
      <color theme="1"/>
      <name val="Book Antiqua"/>
      <family val="1"/>
    </font>
    <font>
      <b/>
      <sz val="12"/>
      <color theme="1"/>
      <name val="Book Antiqua"/>
      <family val="1"/>
    </font>
    <font>
      <b/>
      <sz val="10"/>
      <color rgb="FF7030A0"/>
      <name val="Book Antiqua"/>
      <family val="1"/>
    </font>
    <font>
      <b/>
      <sz val="14"/>
      <color rgb="FF7030A0"/>
      <name val="Times New Roman"/>
      <family val="1"/>
    </font>
    <font>
      <b/>
      <sz val="14"/>
      <color rgb="FF002060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4" tint="0.39997558519241921"/>
      <name val="Arial"/>
      <family val="2"/>
    </font>
    <font>
      <b/>
      <sz val="12"/>
      <color theme="4" tint="0.39997558519241921"/>
      <name val="Arial"/>
      <family val="2"/>
    </font>
    <font>
      <b/>
      <sz val="12"/>
      <color rgb="FF000000"/>
      <name val="Arial"/>
      <family val="2"/>
      <scheme val="minor"/>
    </font>
    <font>
      <b/>
      <sz val="18"/>
      <color theme="1"/>
      <name val="Calibri"/>
      <family val="2"/>
    </font>
    <font>
      <b/>
      <sz val="10"/>
      <color rgb="FF000000"/>
      <name val="Arial"/>
      <family val="2"/>
      <scheme val="minor"/>
    </font>
    <font>
      <b/>
      <sz val="14"/>
      <name val="Arial"/>
      <family val="2"/>
    </font>
    <font>
      <b/>
      <sz val="12"/>
      <name val="Calibri"/>
      <family val="2"/>
    </font>
    <font>
      <b/>
      <sz val="14"/>
      <color rgb="FF00B0F0"/>
      <name val="Arial"/>
      <family val="2"/>
    </font>
    <font>
      <b/>
      <sz val="18"/>
      <color theme="1"/>
      <name val="Arial"/>
    </font>
    <font>
      <sz val="10"/>
      <name val="Arial"/>
    </font>
    <font>
      <b/>
      <sz val="16"/>
      <color theme="1"/>
      <name val="Arial"/>
    </font>
    <font>
      <b/>
      <sz val="14"/>
      <color theme="5" tint="0.39997558519241921"/>
      <name val="Arial"/>
      <family val="2"/>
    </font>
    <font>
      <sz val="14"/>
      <color rgb="FF000000"/>
      <name val="Arial"/>
      <family val="2"/>
      <scheme val="minor"/>
    </font>
    <font>
      <sz val="1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F28E85"/>
        <bgColor rgb="FFF28E85"/>
      </patternFill>
    </fill>
    <fill>
      <patternFill patternType="solid">
        <fgColor rgb="FFE7E6E6"/>
        <bgColor rgb="FFE7E6E6"/>
      </patternFill>
    </fill>
    <fill>
      <patternFill patternType="solid">
        <fgColor rgb="FFF7CAAC"/>
        <bgColor rgb="FFF7CAAC"/>
      </patternFill>
    </fill>
    <fill>
      <patternFill patternType="solid">
        <fgColor rgb="FF00B050"/>
        <bgColor rgb="FF00B050"/>
      </patternFill>
    </fill>
    <fill>
      <patternFill patternType="solid">
        <fgColor rgb="FFBF9000"/>
        <bgColor rgb="FFBF9000"/>
      </patternFill>
    </fill>
    <fill>
      <patternFill patternType="solid">
        <fgColor rgb="FF0070C0"/>
        <bgColor rgb="FF0070C0"/>
      </patternFill>
    </fill>
    <fill>
      <patternFill patternType="solid">
        <fgColor rgb="FF999999"/>
        <bgColor rgb="FF999999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theme="7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FCD66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0" tint="-0.249977111117893"/>
        <bgColor indexed="64"/>
      </patternFill>
    </fill>
  </fills>
  <borders count="13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56"/>
  </cellStyleXfs>
  <cellXfs count="506">
    <xf numFmtId="0" fontId="0" fillId="0" borderId="0" xfId="0" applyBorder="1"/>
    <xf numFmtId="0" fontId="1" fillId="0" borderId="0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/>
    </xf>
    <xf numFmtId="0" fontId="7" fillId="0" borderId="28" xfId="0" applyFont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1" fillId="0" borderId="0" xfId="0" applyFont="1" applyBorder="1" applyAlignment="1">
      <alignment vertical="center"/>
    </xf>
    <xf numFmtId="0" fontId="23" fillId="0" borderId="0" xfId="0" applyFont="1" applyBorder="1"/>
    <xf numFmtId="0" fontId="9" fillId="11" borderId="33" xfId="0" applyFont="1" applyFill="1" applyBorder="1" applyAlignment="1">
      <alignment vertical="center"/>
    </xf>
    <xf numFmtId="0" fontId="9" fillId="11" borderId="21" xfId="0" applyFont="1" applyFill="1" applyBorder="1" applyAlignment="1">
      <alignment horizontal="center" vertical="center"/>
    </xf>
    <xf numFmtId="0" fontId="7" fillId="13" borderId="33" xfId="0" applyFont="1" applyFill="1" applyBorder="1"/>
    <xf numFmtId="0" fontId="7" fillId="8" borderId="33" xfId="0" applyFont="1" applyFill="1" applyBorder="1"/>
    <xf numFmtId="0" fontId="7" fillId="10" borderId="33" xfId="0" applyFont="1" applyFill="1" applyBorder="1"/>
    <xf numFmtId="0" fontId="24" fillId="0" borderId="0" xfId="0" applyFont="1" applyBorder="1"/>
    <xf numFmtId="0" fontId="14" fillId="0" borderId="0" xfId="0" applyFont="1" applyBorder="1"/>
    <xf numFmtId="0" fontId="25" fillId="0" borderId="0" xfId="0" applyFont="1" applyBorder="1" applyAlignment="1">
      <alignment horizontal="center" vertical="center"/>
    </xf>
    <xf numFmtId="0" fontId="26" fillId="0" borderId="0" xfId="0" applyFont="1" applyBorder="1"/>
    <xf numFmtId="0" fontId="27" fillId="0" borderId="0" xfId="0" applyFont="1" applyBorder="1" applyAlignment="1">
      <alignment horizontal="center"/>
    </xf>
    <xf numFmtId="0" fontId="31" fillId="15" borderId="38" xfId="0" applyFont="1" applyFill="1" applyBorder="1" applyAlignment="1">
      <alignment horizontal="center" vertical="center"/>
    </xf>
    <xf numFmtId="0" fontId="35" fillId="16" borderId="33" xfId="0" applyFont="1" applyFill="1" applyBorder="1" applyAlignment="1">
      <alignment horizontal="center" vertical="center" wrapText="1"/>
    </xf>
    <xf numFmtId="0" fontId="29" fillId="0" borderId="36" xfId="0" applyFont="1" applyBorder="1" applyAlignment="1">
      <alignment vertical="center"/>
    </xf>
    <xf numFmtId="0" fontId="40" fillId="0" borderId="41" xfId="0" applyFont="1" applyBorder="1" applyAlignment="1">
      <alignment horizontal="center" vertical="center"/>
    </xf>
    <xf numFmtId="0" fontId="5" fillId="0" borderId="0" xfId="0" applyFont="1" applyBorder="1"/>
    <xf numFmtId="0" fontId="7" fillId="6" borderId="44" xfId="0" applyFont="1" applyFill="1" applyBorder="1" applyAlignment="1">
      <alignment vertical="center"/>
    </xf>
    <xf numFmtId="0" fontId="31" fillId="6" borderId="11" xfId="0" applyFont="1" applyFill="1" applyBorder="1" applyAlignment="1">
      <alignment vertical="center"/>
    </xf>
    <xf numFmtId="0" fontId="31" fillId="15" borderId="12" xfId="0" applyFont="1" applyFill="1" applyBorder="1" applyAlignment="1">
      <alignment horizontal="center" vertical="center"/>
    </xf>
    <xf numFmtId="0" fontId="31" fillId="15" borderId="45" xfId="0" applyFont="1" applyFill="1" applyBorder="1" applyAlignment="1">
      <alignment horizontal="center" vertical="center"/>
    </xf>
    <xf numFmtId="0" fontId="31" fillId="19" borderId="20" xfId="0" applyFont="1" applyFill="1" applyBorder="1" applyAlignment="1">
      <alignment horizontal="center" vertical="center"/>
    </xf>
    <xf numFmtId="0" fontId="27" fillId="0" borderId="0" xfId="0" applyFont="1" applyBorder="1"/>
    <xf numFmtId="0" fontId="34" fillId="0" borderId="46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164" fontId="38" fillId="0" borderId="0" xfId="0" applyNumberFormat="1" applyFont="1" applyBorder="1" applyAlignment="1">
      <alignment horizontal="center" vertical="center"/>
    </xf>
    <xf numFmtId="0" fontId="43" fillId="16" borderId="21" xfId="0" applyFont="1" applyFill="1" applyBorder="1" applyAlignment="1">
      <alignment horizontal="center" vertical="center"/>
    </xf>
    <xf numFmtId="1" fontId="38" fillId="0" borderId="0" xfId="0" applyNumberFormat="1" applyFont="1" applyBorder="1" applyAlignment="1">
      <alignment horizontal="center" vertical="center"/>
    </xf>
    <xf numFmtId="49" fontId="38" fillId="0" borderId="0" xfId="0" applyNumberFormat="1" applyFont="1" applyBorder="1" applyAlignment="1">
      <alignment horizontal="center" vertical="center"/>
    </xf>
    <xf numFmtId="2" fontId="38" fillId="0" borderId="0" xfId="0" applyNumberFormat="1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0" fontId="27" fillId="0" borderId="47" xfId="0" applyFont="1" applyBorder="1"/>
    <xf numFmtId="0" fontId="43" fillId="16" borderId="33" xfId="0" applyFont="1" applyFill="1" applyBorder="1" applyAlignment="1">
      <alignment horizontal="center" vertical="center"/>
    </xf>
    <xf numFmtId="1" fontId="38" fillId="0" borderId="39" xfId="0" applyNumberFormat="1" applyFont="1" applyBorder="1" applyAlignment="1">
      <alignment horizontal="center" vertical="center"/>
    </xf>
    <xf numFmtId="2" fontId="38" fillId="0" borderId="21" xfId="0" applyNumberFormat="1" applyFont="1" applyBorder="1" applyAlignment="1">
      <alignment horizontal="center" vertical="center"/>
    </xf>
    <xf numFmtId="0" fontId="43" fillId="0" borderId="0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 wrapText="1"/>
    </xf>
    <xf numFmtId="0" fontId="43" fillId="16" borderId="48" xfId="0" applyFont="1" applyFill="1" applyBorder="1" applyAlignment="1">
      <alignment horizontal="center" vertical="center" wrapText="1"/>
    </xf>
    <xf numFmtId="49" fontId="38" fillId="0" borderId="0" xfId="0" applyNumberFormat="1" applyFont="1" applyBorder="1" applyAlignment="1">
      <alignment horizontal="center" vertical="center" wrapText="1"/>
    </xf>
    <xf numFmtId="0" fontId="34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164" fontId="38" fillId="0" borderId="0" xfId="0" applyNumberFormat="1" applyFont="1" applyBorder="1" applyAlignment="1">
      <alignment horizontal="center" vertical="center" wrapText="1"/>
    </xf>
    <xf numFmtId="0" fontId="31" fillId="0" borderId="53" xfId="0" applyFont="1" applyBorder="1"/>
    <xf numFmtId="0" fontId="31" fillId="0" borderId="26" xfId="0" applyFont="1" applyBorder="1"/>
    <xf numFmtId="0" fontId="28" fillId="0" borderId="0" xfId="0" applyFont="1" applyBorder="1" applyAlignment="1">
      <alignment vertical="center"/>
    </xf>
    <xf numFmtId="0" fontId="44" fillId="0" borderId="0" xfId="0" applyFont="1" applyBorder="1" applyAlignment="1">
      <alignment vertical="center"/>
    </xf>
    <xf numFmtId="0" fontId="7" fillId="14" borderId="56" xfId="0" applyFont="1" applyFill="1" applyAlignment="1">
      <alignment vertical="center"/>
    </xf>
    <xf numFmtId="0" fontId="46" fillId="17" borderId="21" xfId="0" applyFont="1" applyFill="1" applyBorder="1" applyAlignment="1">
      <alignment horizontal="center" vertical="center" wrapText="1"/>
    </xf>
    <xf numFmtId="0" fontId="36" fillId="0" borderId="39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wrapText="1"/>
    </xf>
    <xf numFmtId="0" fontId="48" fillId="0" borderId="21" xfId="0" applyFont="1" applyBorder="1" applyAlignment="1">
      <alignment horizontal="center" vertical="center" wrapText="1"/>
    </xf>
    <xf numFmtId="0" fontId="48" fillId="0" borderId="41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/>
    </xf>
    <xf numFmtId="0" fontId="50" fillId="0" borderId="39" xfId="0" applyFont="1" applyBorder="1" applyAlignment="1">
      <alignment horizontal="left" vertical="top" wrapText="1"/>
    </xf>
    <xf numFmtId="0" fontId="51" fillId="0" borderId="39" xfId="0" applyFont="1" applyBorder="1" applyAlignment="1">
      <alignment horizontal="center" vertical="center" wrapText="1"/>
    </xf>
    <xf numFmtId="0" fontId="52" fillId="0" borderId="39" xfId="0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0" fontId="48" fillId="0" borderId="39" xfId="0" applyFont="1" applyBorder="1" applyAlignment="1">
      <alignment horizontal="center" vertical="center" wrapText="1"/>
    </xf>
    <xf numFmtId="0" fontId="53" fillId="0" borderId="39" xfId="0" applyFont="1" applyBorder="1" applyAlignment="1">
      <alignment horizontal="center" vertical="center" wrapText="1"/>
    </xf>
    <xf numFmtId="0" fontId="54" fillId="0" borderId="39" xfId="0" applyFont="1" applyBorder="1" applyAlignment="1">
      <alignment horizontal="center" vertical="center" wrapText="1"/>
    </xf>
    <xf numFmtId="0" fontId="55" fillId="0" borderId="21" xfId="0" applyFont="1" applyBorder="1" applyAlignment="1">
      <alignment horizontal="center" vertical="center"/>
    </xf>
    <xf numFmtId="0" fontId="52" fillId="0" borderId="21" xfId="0" applyFont="1" applyBorder="1" applyAlignment="1">
      <alignment horizontal="center" vertical="center" wrapText="1"/>
    </xf>
    <xf numFmtId="0" fontId="50" fillId="0" borderId="39" xfId="0" applyFont="1" applyBorder="1" applyAlignment="1">
      <alignment horizontal="center" vertical="top" wrapText="1"/>
    </xf>
    <xf numFmtId="0" fontId="57" fillId="0" borderId="39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59" fillId="0" borderId="39" xfId="0" applyFont="1" applyBorder="1" applyAlignment="1">
      <alignment horizontal="center" vertical="center" wrapText="1"/>
    </xf>
    <xf numFmtId="0" fontId="25" fillId="0" borderId="21" xfId="0" applyFont="1" applyBorder="1"/>
    <xf numFmtId="0" fontId="61" fillId="0" borderId="39" xfId="0" applyFont="1" applyBorder="1" applyAlignment="1">
      <alignment horizontal="center" vertical="center" wrapText="1"/>
    </xf>
    <xf numFmtId="0" fontId="62" fillId="0" borderId="39" xfId="0" applyFont="1" applyBorder="1" applyAlignment="1">
      <alignment horizontal="center" vertical="center" wrapText="1"/>
    </xf>
    <xf numFmtId="0" fontId="12" fillId="0" borderId="0" xfId="0" applyFont="1" applyBorder="1"/>
    <xf numFmtId="0" fontId="64" fillId="20" borderId="8" xfId="0" applyFont="1" applyFill="1" applyBorder="1" applyAlignment="1">
      <alignment horizontal="center" vertical="center"/>
    </xf>
    <xf numFmtId="0" fontId="64" fillId="20" borderId="8" xfId="0" applyFont="1" applyFill="1" applyBorder="1" applyAlignment="1">
      <alignment horizontal="center" vertical="center" wrapText="1"/>
    </xf>
    <xf numFmtId="0" fontId="65" fillId="20" borderId="8" xfId="0" applyFont="1" applyFill="1" applyBorder="1" applyAlignment="1">
      <alignment horizontal="center" vertical="center" wrapText="1"/>
    </xf>
    <xf numFmtId="0" fontId="40" fillId="0" borderId="41" xfId="0" applyFont="1" applyBorder="1"/>
    <xf numFmtId="0" fontId="40" fillId="0" borderId="21" xfId="0" applyFont="1" applyBorder="1"/>
    <xf numFmtId="0" fontId="25" fillId="0" borderId="0" xfId="0" applyFont="1" applyBorder="1"/>
    <xf numFmtId="0" fontId="32" fillId="17" borderId="21" xfId="0" applyFont="1" applyFill="1" applyBorder="1" applyAlignment="1">
      <alignment horizontal="center" vertical="center" wrapText="1"/>
    </xf>
    <xf numFmtId="0" fontId="60" fillId="17" borderId="21" xfId="0" applyFont="1" applyFill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/>
    </xf>
    <xf numFmtId="0" fontId="66" fillId="0" borderId="21" xfId="0" applyFont="1" applyBorder="1" applyAlignment="1">
      <alignment horizontal="center" vertical="center" wrapText="1"/>
    </xf>
    <xf numFmtId="0" fontId="16" fillId="0" borderId="0" xfId="0" applyFont="1" applyBorder="1"/>
    <xf numFmtId="0" fontId="3" fillId="0" borderId="44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" fillId="7" borderId="42" xfId="0" applyFont="1" applyFill="1" applyBorder="1" applyAlignment="1">
      <alignment horizontal="center" vertical="center"/>
    </xf>
    <xf numFmtId="0" fontId="1" fillId="7" borderId="51" xfId="0" applyFont="1" applyFill="1" applyBorder="1" applyAlignment="1">
      <alignment horizontal="center" vertical="center"/>
    </xf>
    <xf numFmtId="0" fontId="9" fillId="11" borderId="52" xfId="0" applyFont="1" applyFill="1" applyBorder="1" applyAlignment="1">
      <alignment vertical="center"/>
    </xf>
    <xf numFmtId="0" fontId="7" fillId="12" borderId="57" xfId="0" applyFont="1" applyFill="1" applyBorder="1"/>
    <xf numFmtId="0" fontId="7" fillId="12" borderId="58" xfId="0" applyFont="1" applyFill="1" applyBorder="1"/>
    <xf numFmtId="0" fontId="7" fillId="12" borderId="58" xfId="0" applyFont="1" applyFill="1" applyBorder="1" applyAlignment="1">
      <alignment horizontal="center" vertical="center"/>
    </xf>
    <xf numFmtId="0" fontId="7" fillId="13" borderId="41" xfId="0" applyFont="1" applyFill="1" applyBorder="1"/>
    <xf numFmtId="0" fontId="7" fillId="13" borderId="41" xfId="0" applyFont="1" applyFill="1" applyBorder="1" applyAlignment="1">
      <alignment horizontal="center" vertical="center"/>
    </xf>
    <xf numFmtId="0" fontId="7" fillId="8" borderId="41" xfId="0" applyFont="1" applyFill="1" applyBorder="1"/>
    <xf numFmtId="0" fontId="7" fillId="8" borderId="41" xfId="0" applyFont="1" applyFill="1" applyBorder="1" applyAlignment="1">
      <alignment horizontal="center" vertical="center"/>
    </xf>
    <xf numFmtId="0" fontId="1" fillId="10" borderId="41" xfId="0" applyFont="1" applyFill="1" applyBorder="1"/>
    <xf numFmtId="0" fontId="7" fillId="10" borderId="41" xfId="0" applyFont="1" applyFill="1" applyBorder="1" applyAlignment="1">
      <alignment horizontal="center" vertical="center"/>
    </xf>
    <xf numFmtId="165" fontId="31" fillId="6" borderId="59" xfId="0" applyNumberFormat="1" applyFont="1" applyFill="1" applyBorder="1" applyAlignment="1">
      <alignment horizontal="center" vertical="center"/>
    </xf>
    <xf numFmtId="0" fontId="31" fillId="16" borderId="39" xfId="0" applyFont="1" applyFill="1" applyBorder="1" applyAlignment="1">
      <alignment horizontal="center" vertical="center" wrapText="1"/>
    </xf>
    <xf numFmtId="0" fontId="35" fillId="16" borderId="57" xfId="0" applyFont="1" applyFill="1" applyBorder="1" applyAlignment="1">
      <alignment horizontal="center" vertical="center" wrapText="1"/>
    </xf>
    <xf numFmtId="0" fontId="37" fillId="0" borderId="58" xfId="0" applyFont="1" applyBorder="1" applyAlignment="1">
      <alignment horizontal="center" vertical="center"/>
    </xf>
    <xf numFmtId="0" fontId="29" fillId="18" borderId="41" xfId="0" applyFont="1" applyFill="1" applyBorder="1" applyAlignment="1">
      <alignment horizontal="center" vertical="center"/>
    </xf>
    <xf numFmtId="0" fontId="40" fillId="0" borderId="58" xfId="0" applyFont="1" applyBorder="1" applyAlignment="1">
      <alignment vertical="center"/>
    </xf>
    <xf numFmtId="165" fontId="31" fillId="6" borderId="13" xfId="0" applyNumberFormat="1" applyFont="1" applyFill="1" applyBorder="1" applyAlignment="1">
      <alignment horizontal="center" vertical="center"/>
    </xf>
    <xf numFmtId="0" fontId="31" fillId="19" borderId="39" xfId="0" applyFont="1" applyFill="1" applyBorder="1" applyAlignment="1">
      <alignment horizontal="center" vertical="center"/>
    </xf>
    <xf numFmtId="0" fontId="31" fillId="19" borderId="50" xfId="0" applyFont="1" applyFill="1" applyBorder="1" applyAlignment="1">
      <alignment horizontal="center" vertical="center"/>
    </xf>
    <xf numFmtId="0" fontId="43" fillId="16" borderId="59" xfId="0" applyFont="1" applyFill="1" applyBorder="1" applyAlignment="1">
      <alignment horizontal="center" vertical="center"/>
    </xf>
    <xf numFmtId="0" fontId="42" fillId="0" borderId="57" xfId="0" applyFont="1" applyBorder="1" applyAlignment="1">
      <alignment horizontal="center" vertical="center"/>
    </xf>
    <xf numFmtId="1" fontId="38" fillId="0" borderId="33" xfId="0" applyNumberFormat="1" applyFont="1" applyBorder="1" applyAlignment="1">
      <alignment horizontal="center" vertical="center"/>
    </xf>
    <xf numFmtId="0" fontId="43" fillId="16" borderId="57" xfId="0" applyFont="1" applyFill="1" applyBorder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164" fontId="38" fillId="0" borderId="59" xfId="0" applyNumberFormat="1" applyFont="1" applyBorder="1" applyAlignment="1">
      <alignment horizontal="center" vertical="center" wrapText="1"/>
    </xf>
    <xf numFmtId="0" fontId="44" fillId="17" borderId="39" xfId="0" applyFont="1" applyFill="1" applyBorder="1" applyAlignment="1">
      <alignment horizontal="center" vertical="center" wrapText="1"/>
    </xf>
    <xf numFmtId="0" fontId="32" fillId="17" borderId="41" xfId="0" applyFont="1" applyFill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8" fillId="0" borderId="52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48" fillId="0" borderId="33" xfId="0" applyFont="1" applyBorder="1" applyAlignment="1">
      <alignment horizontal="center" vertical="center" wrapText="1"/>
    </xf>
    <xf numFmtId="0" fontId="50" fillId="0" borderId="57" xfId="0" applyFont="1" applyBorder="1" applyAlignment="1">
      <alignment horizontal="left" vertical="top" wrapText="1"/>
    </xf>
    <xf numFmtId="0" fontId="56" fillId="0" borderId="58" xfId="0" applyFont="1" applyBorder="1" applyAlignment="1">
      <alignment horizontal="center" vertical="center" wrapText="1"/>
    </xf>
    <xf numFmtId="0" fontId="53" fillId="0" borderId="58" xfId="0" applyFont="1" applyBorder="1" applyAlignment="1">
      <alignment horizontal="center" vertical="center" wrapText="1"/>
    </xf>
    <xf numFmtId="0" fontId="57" fillId="0" borderId="58" xfId="0" applyFont="1" applyBorder="1" applyAlignment="1">
      <alignment horizontal="center" vertical="center" wrapText="1"/>
    </xf>
    <xf numFmtId="0" fontId="58" fillId="0" borderId="58" xfId="0" applyFont="1" applyBorder="1" applyAlignment="1">
      <alignment horizontal="center" vertical="center" wrapText="1"/>
    </xf>
    <xf numFmtId="0" fontId="51" fillId="0" borderId="58" xfId="0" applyFont="1" applyBorder="1" applyAlignment="1">
      <alignment horizontal="center" vertical="center" wrapText="1"/>
    </xf>
    <xf numFmtId="164" fontId="38" fillId="0" borderId="56" xfId="0" applyNumberFormat="1" applyFont="1" applyAlignment="1">
      <alignment horizontal="center" vertical="center"/>
    </xf>
    <xf numFmtId="1" fontId="38" fillId="0" borderId="56" xfId="0" applyNumberFormat="1" applyFont="1" applyAlignment="1">
      <alignment horizontal="center" vertical="center"/>
    </xf>
    <xf numFmtId="49" fontId="38" fillId="0" borderId="56" xfId="0" applyNumberFormat="1" applyFont="1" applyAlignment="1">
      <alignment horizontal="center" vertical="center"/>
    </xf>
    <xf numFmtId="2" fontId="38" fillId="0" borderId="56" xfId="0" applyNumberFormat="1" applyFont="1" applyAlignment="1">
      <alignment horizontal="center" vertical="center"/>
    </xf>
    <xf numFmtId="0" fontId="43" fillId="0" borderId="56" xfId="0" applyFont="1" applyAlignment="1">
      <alignment horizontal="center" vertical="center"/>
    </xf>
    <xf numFmtId="49" fontId="38" fillId="0" borderId="56" xfId="0" applyNumberFormat="1" applyFont="1" applyAlignment="1">
      <alignment horizontal="center" vertical="center" wrapText="1"/>
    </xf>
    <xf numFmtId="164" fontId="38" fillId="0" borderId="56" xfId="0" applyNumberFormat="1" applyFont="1" applyAlignment="1">
      <alignment horizontal="center" vertical="center" wrapText="1"/>
    </xf>
    <xf numFmtId="0" fontId="27" fillId="0" borderId="56" xfId="0" applyFont="1"/>
    <xf numFmtId="0" fontId="0" fillId="0" borderId="56" xfId="0"/>
    <xf numFmtId="0" fontId="27" fillId="0" borderId="56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1" fillId="0" borderId="0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 applyBorder="1"/>
    <xf numFmtId="49" fontId="38" fillId="0" borderId="39" xfId="0" applyNumberFormat="1" applyFont="1" applyBorder="1" applyAlignment="1">
      <alignment horizontal="center" vertical="center"/>
    </xf>
    <xf numFmtId="49" fontId="38" fillId="0" borderId="39" xfId="0" applyNumberFormat="1" applyFont="1" applyBorder="1" applyAlignment="1">
      <alignment horizontal="center" vertical="center" wrapText="1"/>
    </xf>
    <xf numFmtId="0" fontId="8" fillId="21" borderId="21" xfId="0" applyFont="1" applyFill="1" applyBorder="1" applyAlignment="1">
      <alignment horizontal="center" vertical="center" wrapText="1"/>
    </xf>
    <xf numFmtId="0" fontId="12" fillId="21" borderId="21" xfId="0" applyFont="1" applyFill="1" applyBorder="1"/>
    <xf numFmtId="0" fontId="8" fillId="22" borderId="21" xfId="0" applyFont="1" applyFill="1" applyBorder="1" applyAlignment="1">
      <alignment horizontal="center" vertical="center" wrapText="1"/>
    </xf>
    <xf numFmtId="0" fontId="8" fillId="21" borderId="33" xfId="0" applyFont="1" applyFill="1" applyBorder="1" applyAlignment="1">
      <alignment horizontal="center" vertical="center" wrapText="1"/>
    </xf>
    <xf numFmtId="0" fontId="19" fillId="22" borderId="21" xfId="0" applyFont="1" applyFill="1" applyBorder="1" applyAlignment="1">
      <alignment horizontal="center" vertical="center" wrapText="1"/>
    </xf>
    <xf numFmtId="0" fontId="21" fillId="22" borderId="21" xfId="0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8" fillId="21" borderId="39" xfId="0" applyFont="1" applyFill="1" applyBorder="1" applyAlignment="1">
      <alignment horizontal="center" vertical="center" wrapText="1"/>
    </xf>
    <xf numFmtId="0" fontId="15" fillId="21" borderId="39" xfId="0" applyFont="1" applyFill="1" applyBorder="1" applyAlignment="1">
      <alignment vertical="center" wrapText="1"/>
    </xf>
    <xf numFmtId="0" fontId="8" fillId="21" borderId="64" xfId="0" applyFont="1" applyFill="1" applyBorder="1" applyAlignment="1">
      <alignment horizontal="center" vertical="center" wrapText="1"/>
    </xf>
    <xf numFmtId="0" fontId="8" fillId="22" borderId="64" xfId="0" applyFont="1" applyFill="1" applyBorder="1" applyAlignment="1">
      <alignment horizontal="center" vertical="center" wrapText="1"/>
    </xf>
    <xf numFmtId="0" fontId="12" fillId="21" borderId="64" xfId="0" applyFont="1" applyFill="1" applyBorder="1"/>
    <xf numFmtId="0" fontId="2" fillId="21" borderId="64" xfId="0" applyFont="1" applyFill="1" applyBorder="1"/>
    <xf numFmtId="0" fontId="13" fillId="22" borderId="64" xfId="0" applyFont="1" applyFill="1" applyBorder="1" applyAlignment="1">
      <alignment horizontal="center" vertical="center" wrapText="1"/>
    </xf>
    <xf numFmtId="0" fontId="11" fillId="21" borderId="64" xfId="0" applyFont="1" applyFill="1" applyBorder="1" applyAlignment="1">
      <alignment horizontal="center" vertical="center"/>
    </xf>
    <xf numFmtId="0" fontId="11" fillId="21" borderId="64" xfId="0" applyFont="1" applyFill="1" applyBorder="1" applyAlignment="1">
      <alignment horizontal="center"/>
    </xf>
    <xf numFmtId="0" fontId="8" fillId="22" borderId="64" xfId="0" applyFont="1" applyFill="1" applyBorder="1" applyAlignment="1">
      <alignment horizontal="center"/>
    </xf>
    <xf numFmtId="0" fontId="11" fillId="24" borderId="64" xfId="0" applyFont="1" applyFill="1" applyBorder="1" applyAlignment="1">
      <alignment horizontal="center"/>
    </xf>
    <xf numFmtId="0" fontId="8" fillId="21" borderId="64" xfId="0" applyFont="1" applyFill="1" applyBorder="1" applyAlignment="1">
      <alignment horizontal="center"/>
    </xf>
    <xf numFmtId="0" fontId="8" fillId="21" borderId="6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3" borderId="6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7" borderId="66" xfId="0" applyFont="1" applyFill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8" fillId="21" borderId="69" xfId="0" applyFont="1" applyFill="1" applyBorder="1" applyAlignment="1">
      <alignment horizontal="center" vertical="center" wrapText="1"/>
    </xf>
    <xf numFmtId="0" fontId="8" fillId="22" borderId="69" xfId="0" applyFont="1" applyFill="1" applyBorder="1" applyAlignment="1">
      <alignment horizontal="center" vertical="center" wrapText="1"/>
    </xf>
    <xf numFmtId="0" fontId="12" fillId="21" borderId="69" xfId="0" applyFont="1" applyFill="1" applyBorder="1"/>
    <xf numFmtId="0" fontId="2" fillId="21" borderId="69" xfId="0" applyFont="1" applyFill="1" applyBorder="1"/>
    <xf numFmtId="0" fontId="8" fillId="22" borderId="69" xfId="0" applyFont="1" applyFill="1" applyBorder="1" applyAlignment="1">
      <alignment horizontal="center"/>
    </xf>
    <xf numFmtId="0" fontId="8" fillId="21" borderId="69" xfId="0" applyFont="1" applyFill="1" applyBorder="1" applyAlignment="1">
      <alignment horizontal="center" vertical="center"/>
    </xf>
    <xf numFmtId="0" fontId="8" fillId="21" borderId="69" xfId="0" applyFont="1" applyFill="1" applyBorder="1" applyAlignment="1">
      <alignment horizontal="center"/>
    </xf>
    <xf numFmtId="0" fontId="1" fillId="0" borderId="70" xfId="0" applyFont="1" applyBorder="1" applyAlignment="1">
      <alignment horizontal="center" vertical="center"/>
    </xf>
    <xf numFmtId="0" fontId="1" fillId="7" borderId="70" xfId="0" applyFont="1" applyFill="1" applyBorder="1" applyAlignment="1">
      <alignment horizontal="center" vertical="center"/>
    </xf>
    <xf numFmtId="0" fontId="8" fillId="21" borderId="71" xfId="0" applyFont="1" applyFill="1" applyBorder="1" applyAlignment="1">
      <alignment horizontal="center" vertical="center" wrapText="1"/>
    </xf>
    <xf numFmtId="0" fontId="8" fillId="21" borderId="71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6" fillId="21" borderId="64" xfId="0" applyFont="1" applyFill="1" applyBorder="1"/>
    <xf numFmtId="0" fontId="17" fillId="22" borderId="64" xfId="0" applyFont="1" applyFill="1" applyBorder="1" applyAlignment="1">
      <alignment horizontal="center" vertical="center" wrapText="1"/>
    </xf>
    <xf numFmtId="0" fontId="17" fillId="21" borderId="64" xfId="0" applyFont="1" applyFill="1" applyBorder="1" applyAlignment="1">
      <alignment horizontal="center"/>
    </xf>
    <xf numFmtId="0" fontId="17" fillId="21" borderId="64" xfId="0" applyFont="1" applyFill="1" applyBorder="1" applyAlignment="1">
      <alignment horizontal="center" vertical="center"/>
    </xf>
    <xf numFmtId="0" fontId="17" fillId="21" borderId="64" xfId="0" applyFont="1" applyFill="1" applyBorder="1" applyAlignment="1">
      <alignment horizontal="center" vertical="center" wrapText="1"/>
    </xf>
    <xf numFmtId="0" fontId="68" fillId="21" borderId="64" xfId="0" applyFont="1" applyFill="1" applyBorder="1" applyAlignment="1">
      <alignment horizontal="center" vertical="center" wrapText="1"/>
    </xf>
    <xf numFmtId="0" fontId="67" fillId="21" borderId="64" xfId="0" applyFont="1" applyFill="1" applyBorder="1" applyAlignment="1">
      <alignment horizontal="center" vertical="center" wrapText="1"/>
    </xf>
    <xf numFmtId="0" fontId="15" fillId="25" borderId="71" xfId="0" applyFont="1" applyFill="1" applyBorder="1" applyAlignment="1">
      <alignment vertical="center"/>
    </xf>
    <xf numFmtId="0" fontId="15" fillId="21" borderId="71" xfId="0" applyFont="1" applyFill="1" applyBorder="1" applyAlignment="1">
      <alignment vertical="center" wrapText="1"/>
    </xf>
    <xf numFmtId="0" fontId="9" fillId="21" borderId="57" xfId="0" applyFont="1" applyFill="1" applyBorder="1" applyAlignment="1">
      <alignment vertical="center" wrapText="1"/>
    </xf>
    <xf numFmtId="0" fontId="12" fillId="21" borderId="33" xfId="0" applyFont="1" applyFill="1" applyBorder="1"/>
    <xf numFmtId="0" fontId="19" fillId="22" borderId="33" xfId="0" applyFont="1" applyFill="1" applyBorder="1" applyAlignment="1">
      <alignment horizontal="center"/>
    </xf>
    <xf numFmtId="0" fontId="9" fillId="21" borderId="64" xfId="0" applyFont="1" applyFill="1" applyBorder="1" applyAlignment="1">
      <alignment horizontal="center" vertical="center"/>
    </xf>
    <xf numFmtId="0" fontId="69" fillId="21" borderId="64" xfId="0" applyFont="1" applyFill="1" applyBorder="1" applyAlignment="1">
      <alignment horizontal="center"/>
    </xf>
    <xf numFmtId="0" fontId="8" fillId="22" borderId="64" xfId="0" applyFont="1" applyFill="1" applyBorder="1" applyAlignment="1">
      <alignment horizontal="center" vertical="center"/>
    </xf>
    <xf numFmtId="0" fontId="21" fillId="21" borderId="64" xfId="0" applyFont="1" applyFill="1" applyBorder="1" applyAlignment="1">
      <alignment horizontal="center"/>
    </xf>
    <xf numFmtId="0" fontId="8" fillId="22" borderId="33" xfId="0" applyFont="1" applyFill="1" applyBorder="1" applyAlignment="1">
      <alignment horizontal="center" vertical="center" wrapText="1"/>
    </xf>
    <xf numFmtId="0" fontId="9" fillId="26" borderId="64" xfId="0" applyFont="1" applyFill="1" applyBorder="1" applyAlignment="1">
      <alignment horizontal="center" vertical="center"/>
    </xf>
    <xf numFmtId="0" fontId="18" fillId="23" borderId="71" xfId="0" applyFont="1" applyFill="1" applyBorder="1" applyAlignment="1">
      <alignment vertical="center"/>
    </xf>
    <xf numFmtId="0" fontId="8" fillId="22" borderId="69" xfId="0" applyFont="1" applyFill="1" applyBorder="1" applyAlignment="1">
      <alignment horizontal="center" vertical="center"/>
    </xf>
    <xf numFmtId="0" fontId="9" fillId="21" borderId="71" xfId="0" applyFont="1" applyFill="1" applyBorder="1" applyAlignment="1">
      <alignment vertical="center"/>
    </xf>
    <xf numFmtId="0" fontId="15" fillId="21" borderId="71" xfId="0" applyFont="1" applyFill="1" applyBorder="1" applyAlignment="1">
      <alignment vertical="center"/>
    </xf>
    <xf numFmtId="0" fontId="9" fillId="21" borderId="71" xfId="0" applyFont="1" applyFill="1" applyBorder="1" applyAlignment="1">
      <alignment horizontal="center" vertical="center"/>
    </xf>
    <xf numFmtId="0" fontId="67" fillId="21" borderId="69" xfId="0" applyFont="1" applyFill="1" applyBorder="1" applyAlignment="1">
      <alignment horizontal="center" vertical="center" wrapText="1"/>
    </xf>
    <xf numFmtId="0" fontId="7" fillId="0" borderId="7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 wrapText="1"/>
    </xf>
    <xf numFmtId="0" fontId="2" fillId="21" borderId="79" xfId="0" applyFont="1" applyFill="1" applyBorder="1"/>
    <xf numFmtId="0" fontId="8" fillId="21" borderId="81" xfId="0" applyFont="1" applyFill="1" applyBorder="1" applyAlignment="1">
      <alignment horizontal="center" vertical="center" wrapText="1"/>
    </xf>
    <xf numFmtId="0" fontId="55" fillId="0" borderId="41" xfId="0" applyFont="1" applyBorder="1" applyAlignment="1">
      <alignment horizontal="center" vertical="center"/>
    </xf>
    <xf numFmtId="0" fontId="51" fillId="0" borderId="61" xfId="0" applyFont="1" applyBorder="1" applyAlignment="1">
      <alignment horizontal="center" vertical="center" wrapText="1"/>
    </xf>
    <xf numFmtId="0" fontId="53" fillId="0" borderId="64" xfId="0" applyFont="1" applyBorder="1" applyAlignment="1">
      <alignment horizontal="center" vertical="center" wrapText="1"/>
    </xf>
    <xf numFmtId="0" fontId="54" fillId="0" borderId="64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6" fillId="0" borderId="83" xfId="0" applyFont="1" applyBorder="1" applyAlignment="1">
      <alignment horizontal="center" vertical="center" wrapText="1"/>
    </xf>
    <xf numFmtId="0" fontId="8" fillId="29" borderId="21" xfId="0" applyFont="1" applyFill="1" applyBorder="1" applyAlignment="1">
      <alignment horizontal="center" vertical="center" wrapText="1"/>
    </xf>
    <xf numFmtId="0" fontId="21" fillId="27" borderId="21" xfId="0" applyFont="1" applyFill="1" applyBorder="1" applyAlignment="1">
      <alignment horizontal="center" vertical="center" wrapText="1"/>
    </xf>
    <xf numFmtId="0" fontId="8" fillId="27" borderId="64" xfId="0" applyFont="1" applyFill="1" applyBorder="1" applyAlignment="1">
      <alignment horizontal="center" vertical="center" wrapText="1"/>
    </xf>
    <xf numFmtId="0" fontId="72" fillId="21" borderId="64" xfId="0" applyFont="1" applyFill="1" applyBorder="1" applyAlignment="1">
      <alignment horizontal="center" vertical="center"/>
    </xf>
    <xf numFmtId="0" fontId="8" fillId="29" borderId="33" xfId="0" applyFont="1" applyFill="1" applyBorder="1" applyAlignment="1">
      <alignment horizontal="center" vertical="center" wrapText="1"/>
    </xf>
    <xf numFmtId="0" fontId="8" fillId="27" borderId="77" xfId="0" applyFont="1" applyFill="1" applyBorder="1" applyAlignment="1">
      <alignment horizontal="center" vertical="center" wrapText="1"/>
    </xf>
    <xf numFmtId="0" fontId="72" fillId="27" borderId="64" xfId="0" applyFont="1" applyFill="1" applyBorder="1" applyAlignment="1">
      <alignment horizontal="center"/>
    </xf>
    <xf numFmtId="0" fontId="8" fillId="27" borderId="64" xfId="0" applyFont="1" applyFill="1" applyBorder="1" applyAlignment="1">
      <alignment horizontal="center"/>
    </xf>
    <xf numFmtId="0" fontId="8" fillId="27" borderId="21" xfId="0" applyFont="1" applyFill="1" applyBorder="1" applyAlignment="1">
      <alignment horizontal="center" vertical="center" wrapText="1"/>
    </xf>
    <xf numFmtId="0" fontId="8" fillId="27" borderId="21" xfId="0" applyFont="1" applyFill="1" applyBorder="1" applyAlignment="1">
      <alignment horizontal="center"/>
    </xf>
    <xf numFmtId="0" fontId="8" fillId="27" borderId="21" xfId="0" applyFont="1" applyFill="1" applyBorder="1" applyAlignment="1">
      <alignment horizontal="center" vertical="center"/>
    </xf>
    <xf numFmtId="0" fontId="73" fillId="4" borderId="18" xfId="0" applyFont="1" applyFill="1" applyBorder="1" applyAlignment="1">
      <alignment horizontal="center" vertical="center" wrapText="1"/>
    </xf>
    <xf numFmtId="0" fontId="8" fillId="21" borderId="40" xfId="0" applyFont="1" applyFill="1" applyBorder="1" applyAlignment="1">
      <alignment horizontal="center" vertical="center" wrapText="1"/>
    </xf>
    <xf numFmtId="0" fontId="22" fillId="21" borderId="40" xfId="0" applyFont="1" applyFill="1" applyBorder="1" applyAlignment="1">
      <alignment horizontal="center" vertical="center" wrapText="1"/>
    </xf>
    <xf numFmtId="0" fontId="12" fillId="21" borderId="40" xfId="0" applyFont="1" applyFill="1" applyBorder="1"/>
    <xf numFmtId="0" fontId="12" fillId="21" borderId="48" xfId="0" applyFont="1" applyFill="1" applyBorder="1"/>
    <xf numFmtId="0" fontId="2" fillId="21" borderId="76" xfId="0" applyFont="1" applyFill="1" applyBorder="1"/>
    <xf numFmtId="0" fontId="12" fillId="21" borderId="76" xfId="0" applyFont="1" applyFill="1" applyBorder="1"/>
    <xf numFmtId="0" fontId="8" fillId="22" borderId="76" xfId="0" applyFont="1" applyFill="1" applyBorder="1" applyAlignment="1">
      <alignment horizontal="center" vertical="center"/>
    </xf>
    <xf numFmtId="0" fontId="8" fillId="21" borderId="76" xfId="0" applyFont="1" applyFill="1" applyBorder="1" applyAlignment="1">
      <alignment horizontal="center" vertical="center"/>
    </xf>
    <xf numFmtId="0" fontId="9" fillId="21" borderId="76" xfId="0" applyFont="1" applyFill="1" applyBorder="1" applyAlignment="1">
      <alignment horizontal="center" vertical="center"/>
    </xf>
    <xf numFmtId="0" fontId="8" fillId="21" borderId="89" xfId="0" applyFont="1" applyFill="1" applyBorder="1" applyAlignment="1">
      <alignment horizontal="center" vertical="center" wrapText="1"/>
    </xf>
    <xf numFmtId="0" fontId="8" fillId="21" borderId="90" xfId="0" applyFont="1" applyFill="1" applyBorder="1" applyAlignment="1">
      <alignment horizontal="center" vertical="center" wrapText="1"/>
    </xf>
    <xf numFmtId="0" fontId="8" fillId="21" borderId="91" xfId="0" applyFont="1" applyFill="1" applyBorder="1" applyAlignment="1">
      <alignment horizontal="center" vertical="center" wrapText="1"/>
    </xf>
    <xf numFmtId="0" fontId="15" fillId="21" borderId="91" xfId="0" applyFont="1" applyFill="1" applyBorder="1" applyAlignment="1">
      <alignment vertical="center" wrapText="1"/>
    </xf>
    <xf numFmtId="0" fontId="9" fillId="21" borderId="91" xfId="0" applyFont="1" applyFill="1" applyBorder="1" applyAlignment="1">
      <alignment vertical="center" wrapText="1"/>
    </xf>
    <xf numFmtId="0" fontId="18" fillId="23" borderId="91" xfId="0" applyFont="1" applyFill="1" applyBorder="1" applyAlignment="1">
      <alignment vertical="center"/>
    </xf>
    <xf numFmtId="0" fontId="1" fillId="0" borderId="92" xfId="0" applyFont="1" applyBorder="1" applyAlignment="1">
      <alignment horizontal="center" vertical="center"/>
    </xf>
    <xf numFmtId="0" fontId="8" fillId="21" borderId="93" xfId="0" applyFont="1" applyFill="1" applyBorder="1" applyAlignment="1">
      <alignment horizontal="center" vertical="center" wrapText="1"/>
    </xf>
    <xf numFmtId="0" fontId="1" fillId="0" borderId="94" xfId="0" applyFont="1" applyBorder="1" applyAlignment="1">
      <alignment horizontal="center" vertical="center"/>
    </xf>
    <xf numFmtId="0" fontId="8" fillId="27" borderId="93" xfId="0" applyFont="1" applyFill="1" applyBorder="1" applyAlignment="1">
      <alignment horizontal="center" vertical="center" wrapText="1"/>
    </xf>
    <xf numFmtId="0" fontId="8" fillId="21" borderId="95" xfId="0" applyFont="1" applyFill="1" applyBorder="1" applyAlignment="1">
      <alignment horizontal="center" vertical="center" wrapText="1"/>
    </xf>
    <xf numFmtId="0" fontId="1" fillId="0" borderId="96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/>
    </xf>
    <xf numFmtId="0" fontId="4" fillId="0" borderId="97" xfId="0" applyFont="1" applyBorder="1" applyAlignment="1">
      <alignment horizontal="center" vertical="center" wrapText="1"/>
    </xf>
    <xf numFmtId="0" fontId="4" fillId="0" borderId="98" xfId="0" applyFont="1" applyBorder="1" applyAlignment="1">
      <alignment horizontal="center" vertical="center" wrapText="1"/>
    </xf>
    <xf numFmtId="0" fontId="4" fillId="0" borderId="99" xfId="0" applyFont="1" applyBorder="1" applyAlignment="1">
      <alignment horizontal="center" vertical="center" wrapText="1"/>
    </xf>
    <xf numFmtId="0" fontId="4" fillId="0" borderId="100" xfId="0" applyFont="1" applyBorder="1" applyAlignment="1">
      <alignment horizontal="center" vertical="center" wrapText="1"/>
    </xf>
    <xf numFmtId="0" fontId="4" fillId="0" borderId="101" xfId="0" applyFont="1" applyBorder="1" applyAlignment="1">
      <alignment horizontal="center" vertical="center" wrapText="1"/>
    </xf>
    <xf numFmtId="0" fontId="4" fillId="0" borderId="102" xfId="0" applyFont="1" applyBorder="1" applyAlignment="1">
      <alignment horizontal="center" vertical="center" wrapText="1"/>
    </xf>
    <xf numFmtId="0" fontId="8" fillId="27" borderId="103" xfId="0" applyFont="1" applyFill="1" applyBorder="1" applyAlignment="1">
      <alignment horizontal="center" vertical="center" wrapText="1"/>
    </xf>
    <xf numFmtId="0" fontId="8" fillId="21" borderId="91" xfId="0" applyFont="1" applyFill="1" applyBorder="1" applyAlignment="1">
      <alignment vertical="center" wrapText="1"/>
    </xf>
    <xf numFmtId="0" fontId="8" fillId="22" borderId="91" xfId="0" applyFont="1" applyFill="1" applyBorder="1" applyAlignment="1">
      <alignment horizontal="center" vertical="center" wrapText="1"/>
    </xf>
    <xf numFmtId="0" fontId="10" fillId="23" borderId="91" xfId="0" applyFont="1" applyFill="1" applyBorder="1" applyAlignment="1">
      <alignment vertical="center"/>
    </xf>
    <xf numFmtId="0" fontId="11" fillId="24" borderId="91" xfId="0" applyFont="1" applyFill="1" applyBorder="1" applyAlignment="1">
      <alignment horizontal="center" vertical="center" wrapText="1"/>
    </xf>
    <xf numFmtId="0" fontId="8" fillId="21" borderId="91" xfId="0" applyFont="1" applyFill="1" applyBorder="1" applyAlignment="1">
      <alignment horizontal="center" vertical="center"/>
    </xf>
    <xf numFmtId="0" fontId="11" fillId="21" borderId="91" xfId="0" applyFont="1" applyFill="1" applyBorder="1" applyAlignment="1">
      <alignment horizontal="center" vertical="center"/>
    </xf>
    <xf numFmtId="0" fontId="10" fillId="23" borderId="104" xfId="0" applyFont="1" applyFill="1" applyBorder="1" applyAlignment="1">
      <alignment vertical="center"/>
    </xf>
    <xf numFmtId="0" fontId="8" fillId="21" borderId="105" xfId="0" applyFont="1" applyFill="1" applyBorder="1" applyAlignment="1">
      <alignment horizontal="center" vertical="center" wrapText="1"/>
    </xf>
    <xf numFmtId="0" fontId="2" fillId="21" borderId="106" xfId="0" applyFont="1" applyFill="1" applyBorder="1"/>
    <xf numFmtId="0" fontId="8" fillId="27" borderId="105" xfId="0" applyFont="1" applyFill="1" applyBorder="1" applyAlignment="1">
      <alignment horizontal="center" vertical="center" wrapText="1"/>
    </xf>
    <xf numFmtId="0" fontId="8" fillId="22" borderId="105" xfId="0" applyFont="1" applyFill="1" applyBorder="1" applyAlignment="1">
      <alignment horizontal="center" vertical="center" wrapText="1"/>
    </xf>
    <xf numFmtId="0" fontId="8" fillId="21" borderId="107" xfId="0" applyFont="1" applyFill="1" applyBorder="1" applyAlignment="1">
      <alignment horizontal="center" vertical="center" wrapText="1"/>
    </xf>
    <xf numFmtId="0" fontId="2" fillId="21" borderId="108" xfId="0" applyFont="1" applyFill="1" applyBorder="1"/>
    <xf numFmtId="0" fontId="8" fillId="21" borderId="109" xfId="0" applyFont="1" applyFill="1" applyBorder="1" applyAlignment="1">
      <alignment horizontal="center" vertical="center" wrapText="1"/>
    </xf>
    <xf numFmtId="0" fontId="15" fillId="25" borderId="110" xfId="0" applyFont="1" applyFill="1" applyBorder="1" applyAlignment="1">
      <alignment vertical="center"/>
    </xf>
    <xf numFmtId="0" fontId="8" fillId="21" borderId="111" xfId="0" applyFont="1" applyFill="1" applyBorder="1" applyAlignment="1">
      <alignment horizontal="center" vertical="center" wrapText="1"/>
    </xf>
    <xf numFmtId="0" fontId="8" fillId="21" borderId="112" xfId="0" applyFont="1" applyFill="1" applyBorder="1" applyAlignment="1">
      <alignment horizontal="center" vertical="center" wrapText="1"/>
    </xf>
    <xf numFmtId="0" fontId="18" fillId="23" borderId="110" xfId="0" applyFont="1" applyFill="1" applyBorder="1" applyAlignment="1">
      <alignment vertical="center"/>
    </xf>
    <xf numFmtId="0" fontId="20" fillId="21" borderId="93" xfId="0" applyFont="1" applyFill="1" applyBorder="1" applyAlignment="1">
      <alignment horizontal="center" vertical="center" wrapText="1"/>
    </xf>
    <xf numFmtId="0" fontId="8" fillId="21" borderId="113" xfId="0" applyFont="1" applyFill="1" applyBorder="1" applyAlignment="1">
      <alignment horizontal="center" vertical="center" wrapText="1"/>
    </xf>
    <xf numFmtId="0" fontId="2" fillId="21" borderId="114" xfId="0" applyFont="1" applyFill="1" applyBorder="1"/>
    <xf numFmtId="0" fontId="18" fillId="23" borderId="104" xfId="0" applyFont="1" applyFill="1" applyBorder="1" applyAlignment="1">
      <alignment vertical="center" wrapText="1"/>
    </xf>
    <xf numFmtId="0" fontId="2" fillId="21" borderId="106" xfId="0" applyFont="1" applyFill="1" applyBorder="1" applyAlignment="1">
      <alignment wrapText="1"/>
    </xf>
    <xf numFmtId="0" fontId="2" fillId="21" borderId="108" xfId="0" applyFont="1" applyFill="1" applyBorder="1" applyAlignment="1">
      <alignment wrapText="1"/>
    </xf>
    <xf numFmtId="0" fontId="8" fillId="29" borderId="64" xfId="0" applyFont="1" applyFill="1" applyBorder="1" applyAlignment="1">
      <alignment horizontal="center"/>
    </xf>
    <xf numFmtId="49" fontId="38" fillId="0" borderId="57" xfId="0" applyNumberFormat="1" applyFont="1" applyBorder="1" applyAlignment="1">
      <alignment horizontal="center" vertical="center" wrapText="1"/>
    </xf>
    <xf numFmtId="49" fontId="38" fillId="0" borderId="57" xfId="0" applyNumberFormat="1" applyFont="1" applyBorder="1" applyAlignment="1">
      <alignment horizontal="center" vertical="center"/>
    </xf>
    <xf numFmtId="0" fontId="8" fillId="27" borderId="69" xfId="0" applyFont="1" applyFill="1" applyBorder="1" applyAlignment="1">
      <alignment horizontal="center" vertical="center" wrapText="1"/>
    </xf>
    <xf numFmtId="0" fontId="74" fillId="27" borderId="69" xfId="0" applyFont="1" applyFill="1" applyBorder="1" applyAlignment="1">
      <alignment horizontal="center" vertical="center" wrapText="1"/>
    </xf>
    <xf numFmtId="0" fontId="74" fillId="27" borderId="64" xfId="0" applyFont="1" applyFill="1" applyBorder="1" applyAlignment="1">
      <alignment horizontal="center" vertical="center" wrapText="1"/>
    </xf>
    <xf numFmtId="0" fontId="8" fillId="27" borderId="39" xfId="0" applyFont="1" applyFill="1" applyBorder="1" applyAlignment="1">
      <alignment horizontal="center" vertical="center" wrapText="1"/>
    </xf>
    <xf numFmtId="0" fontId="76" fillId="30" borderId="115" xfId="0" applyFont="1" applyFill="1" applyBorder="1"/>
    <xf numFmtId="164" fontId="38" fillId="0" borderId="57" xfId="0" applyNumberFormat="1" applyFont="1" applyBorder="1" applyAlignment="1">
      <alignment horizontal="center" vertical="center"/>
    </xf>
    <xf numFmtId="2" fontId="38" fillId="0" borderId="57" xfId="0" applyNumberFormat="1" applyFont="1" applyBorder="1" applyAlignment="1">
      <alignment horizontal="center" vertical="center"/>
    </xf>
    <xf numFmtId="0" fontId="43" fillId="0" borderId="64" xfId="0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56" xfId="0" applyFont="1" applyAlignment="1">
      <alignment horizontal="center" vertical="center"/>
    </xf>
    <xf numFmtId="0" fontId="74" fillId="0" borderId="61" xfId="0" applyFont="1" applyBorder="1" applyAlignment="1">
      <alignment horizontal="center"/>
    </xf>
    <xf numFmtId="0" fontId="28" fillId="6" borderId="6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center" vertical="center" wrapText="1"/>
    </xf>
    <xf numFmtId="0" fontId="39" fillId="6" borderId="61" xfId="0" applyFont="1" applyFill="1" applyBorder="1" applyAlignment="1">
      <alignment horizontal="center" vertical="center" wrapText="1"/>
    </xf>
    <xf numFmtId="0" fontId="32" fillId="6" borderId="116" xfId="0" applyFont="1" applyFill="1" applyBorder="1" applyAlignment="1">
      <alignment horizontal="center" vertical="center" wrapText="1"/>
    </xf>
    <xf numFmtId="0" fontId="7" fillId="6" borderId="117" xfId="0" applyFont="1" applyFill="1" applyBorder="1" applyAlignment="1">
      <alignment horizontal="center" vertical="center" wrapText="1"/>
    </xf>
    <xf numFmtId="17" fontId="7" fillId="6" borderId="117" xfId="0" applyNumberFormat="1" applyFont="1" applyFill="1" applyBorder="1" applyAlignment="1">
      <alignment horizontal="center" vertical="center" wrapText="1"/>
    </xf>
    <xf numFmtId="0" fontId="33" fillId="6" borderId="118" xfId="0" applyFont="1" applyFill="1" applyBorder="1" applyAlignment="1">
      <alignment horizontal="center" vertical="center" wrapText="1"/>
    </xf>
    <xf numFmtId="0" fontId="34" fillId="16" borderId="112" xfId="0" applyFont="1" applyFill="1" applyBorder="1" applyAlignment="1">
      <alignment horizontal="center" vertical="center"/>
    </xf>
    <xf numFmtId="0" fontId="36" fillId="0" borderId="119" xfId="0" applyFont="1" applyBorder="1" applyAlignment="1">
      <alignment horizontal="center" vertical="center" wrapText="1"/>
    </xf>
    <xf numFmtId="0" fontId="34" fillId="16" borderId="93" xfId="0" applyFont="1" applyFill="1" applyBorder="1" applyAlignment="1">
      <alignment horizontal="center" vertical="center"/>
    </xf>
    <xf numFmtId="0" fontId="36" fillId="0" borderId="120" xfId="0" applyFont="1" applyBorder="1" applyAlignment="1">
      <alignment horizontal="center" vertical="center" wrapText="1"/>
    </xf>
    <xf numFmtId="0" fontId="38" fillId="0" borderId="121" xfId="0" applyFont="1" applyBorder="1" applyAlignment="1">
      <alignment horizontal="center" vertical="center" wrapText="1"/>
    </xf>
    <xf numFmtId="0" fontId="34" fillId="16" borderId="95" xfId="0" applyFont="1" applyFill="1" applyBorder="1" applyAlignment="1">
      <alignment horizontal="center" vertical="center"/>
    </xf>
    <xf numFmtId="0" fontId="31" fillId="16" borderId="85" xfId="0" applyFont="1" applyFill="1" applyBorder="1" applyAlignment="1">
      <alignment horizontal="center" vertical="center" wrapText="1"/>
    </xf>
    <xf numFmtId="0" fontId="35" fillId="16" borderId="122" xfId="0" applyFont="1" applyFill="1" applyBorder="1" applyAlignment="1">
      <alignment horizontal="center" vertical="center" wrapText="1"/>
    </xf>
    <xf numFmtId="0" fontId="36" fillId="0" borderId="85" xfId="0" applyFont="1" applyBorder="1" applyAlignment="1">
      <alignment horizontal="center" vertical="center"/>
    </xf>
    <xf numFmtId="0" fontId="38" fillId="0" borderId="123" xfId="0" applyFont="1" applyBorder="1" applyAlignment="1">
      <alignment horizontal="center" vertical="center" wrapText="1"/>
    </xf>
    <xf numFmtId="0" fontId="78" fillId="32" borderId="33" xfId="0" applyFont="1" applyFill="1" applyBorder="1" applyAlignment="1">
      <alignment horizontal="center"/>
    </xf>
    <xf numFmtId="0" fontId="76" fillId="0" borderId="115" xfId="0" applyFont="1" applyBorder="1"/>
    <xf numFmtId="0" fontId="10" fillId="23" borderId="91" xfId="0" applyFont="1" applyFill="1" applyBorder="1" applyAlignment="1">
      <alignment horizontal="center" vertical="center"/>
    </xf>
    <xf numFmtId="0" fontId="2" fillId="21" borderId="64" xfId="0" applyFont="1" applyFill="1" applyBorder="1" applyAlignment="1">
      <alignment horizontal="center"/>
    </xf>
    <xf numFmtId="0" fontId="2" fillId="21" borderId="69" xfId="0" applyFont="1" applyFill="1" applyBorder="1" applyAlignment="1">
      <alignment horizontal="center"/>
    </xf>
    <xf numFmtId="0" fontId="15" fillId="25" borderId="71" xfId="0" applyFont="1" applyFill="1" applyBorder="1" applyAlignment="1">
      <alignment horizontal="center" vertical="center"/>
    </xf>
    <xf numFmtId="0" fontId="18" fillId="23" borderId="71" xfId="0" applyFont="1" applyFill="1" applyBorder="1" applyAlignment="1">
      <alignment horizontal="center" vertical="center"/>
    </xf>
    <xf numFmtId="0" fontId="2" fillId="21" borderId="76" xfId="0" applyFont="1" applyFill="1" applyBorder="1" applyAlignment="1">
      <alignment horizontal="center"/>
    </xf>
    <xf numFmtId="0" fontId="18" fillId="23" borderId="9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19" fillId="21" borderId="64" xfId="0" applyFont="1" applyFill="1" applyBorder="1" applyAlignment="1">
      <alignment horizontal="center"/>
    </xf>
    <xf numFmtId="0" fontId="19" fillId="21" borderId="64" xfId="0" applyFont="1" applyFill="1" applyBorder="1" applyAlignment="1">
      <alignment horizontal="center" wrapText="1"/>
    </xf>
    <xf numFmtId="0" fontId="7" fillId="0" borderId="124" xfId="0" applyFont="1" applyBorder="1" applyAlignment="1">
      <alignment horizontal="center" vertical="center"/>
    </xf>
    <xf numFmtId="0" fontId="7" fillId="0" borderId="125" xfId="0" applyFont="1" applyBorder="1" applyAlignment="1">
      <alignment horizontal="center" vertical="center"/>
    </xf>
    <xf numFmtId="0" fontId="76" fillId="0" borderId="125" xfId="0" applyFont="1" applyBorder="1"/>
    <xf numFmtId="0" fontId="7" fillId="0" borderId="126" xfId="0" applyFont="1" applyBorder="1" applyAlignment="1">
      <alignment horizontal="center" vertical="center"/>
    </xf>
    <xf numFmtId="0" fontId="72" fillId="27" borderId="64" xfId="0" applyFont="1" applyFill="1" applyBorder="1" applyAlignment="1">
      <alignment horizontal="center" vertical="center"/>
    </xf>
    <xf numFmtId="0" fontId="19" fillId="27" borderId="64" xfId="0" applyFont="1" applyFill="1" applyBorder="1" applyAlignment="1">
      <alignment horizontal="center"/>
    </xf>
    <xf numFmtId="0" fontId="67" fillId="32" borderId="64" xfId="0" applyFont="1" applyFill="1" applyBorder="1" applyAlignment="1">
      <alignment horizontal="center"/>
    </xf>
    <xf numFmtId="0" fontId="67" fillId="0" borderId="64" xfId="0" applyFont="1" applyBorder="1" applyAlignment="1">
      <alignment horizontal="center"/>
    </xf>
    <xf numFmtId="0" fontId="8" fillId="0" borderId="69" xfId="0" applyFont="1" applyBorder="1" applyAlignment="1">
      <alignment horizontal="center" vertical="center"/>
    </xf>
    <xf numFmtId="0" fontId="8" fillId="27" borderId="64" xfId="0" applyFont="1" applyFill="1" applyBorder="1" applyAlignment="1">
      <alignment horizontal="center" vertical="center"/>
    </xf>
    <xf numFmtId="0" fontId="8" fillId="27" borderId="76" xfId="0" applyFont="1" applyFill="1" applyBorder="1" applyAlignment="1">
      <alignment horizontal="center" vertical="center"/>
    </xf>
    <xf numFmtId="0" fontId="8" fillId="29" borderId="64" xfId="0" applyFont="1" applyFill="1" applyBorder="1" applyAlignment="1">
      <alignment horizontal="center" vertical="center"/>
    </xf>
    <xf numFmtId="0" fontId="8" fillId="27" borderId="64" xfId="0" applyFont="1" applyFill="1" applyBorder="1" applyAlignment="1">
      <alignment horizontal="center" wrapText="1"/>
    </xf>
    <xf numFmtId="0" fontId="21" fillId="29" borderId="64" xfId="0" applyFont="1" applyFill="1" applyBorder="1" applyAlignment="1">
      <alignment horizontal="center" vertical="center"/>
    </xf>
    <xf numFmtId="0" fontId="8" fillId="27" borderId="91" xfId="0" applyFont="1" applyFill="1" applyBorder="1" applyAlignment="1">
      <alignment horizontal="center" vertical="center" wrapText="1"/>
    </xf>
    <xf numFmtId="0" fontId="72" fillId="21" borderId="64" xfId="0" applyFont="1" applyFill="1" applyBorder="1" applyAlignment="1">
      <alignment horizontal="center"/>
    </xf>
    <xf numFmtId="0" fontId="79" fillId="0" borderId="0" xfId="0" applyFont="1" applyBorder="1"/>
    <xf numFmtId="0" fontId="34" fillId="0" borderId="72" xfId="0" applyFont="1" applyBorder="1" applyAlignment="1">
      <alignment horizontal="center" vertical="center"/>
    </xf>
    <xf numFmtId="0" fontId="8" fillId="23" borderId="71" xfId="0" applyFont="1" applyFill="1" applyBorder="1" applyAlignment="1">
      <alignment vertical="center"/>
    </xf>
    <xf numFmtId="0" fontId="80" fillId="21" borderId="64" xfId="0" applyFont="1" applyFill="1" applyBorder="1"/>
    <xf numFmtId="0" fontId="80" fillId="21" borderId="76" xfId="0" applyFont="1" applyFill="1" applyBorder="1"/>
    <xf numFmtId="0" fontId="8" fillId="23" borderId="91" xfId="0" applyFont="1" applyFill="1" applyBorder="1" applyAlignment="1">
      <alignment vertical="center"/>
    </xf>
    <xf numFmtId="0" fontId="31" fillId="0" borderId="125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72" fillId="21" borderId="69" xfId="0" applyFont="1" applyFill="1" applyBorder="1" applyAlignment="1">
      <alignment horizontal="center"/>
    </xf>
    <xf numFmtId="0" fontId="8" fillId="27" borderId="71" xfId="0" applyFont="1" applyFill="1" applyBorder="1" applyAlignment="1">
      <alignment horizontal="center" vertical="center"/>
    </xf>
    <xf numFmtId="0" fontId="32" fillId="17" borderId="40" xfId="0" applyFont="1" applyFill="1" applyBorder="1" applyAlignment="1">
      <alignment horizontal="center" vertical="center" wrapText="1"/>
    </xf>
    <xf numFmtId="0" fontId="32" fillId="17" borderId="33" xfId="0" applyFont="1" applyFill="1" applyBorder="1" applyAlignment="1">
      <alignment horizontal="center" vertical="center" wrapText="1"/>
    </xf>
    <xf numFmtId="0" fontId="8" fillId="32" borderId="64" xfId="0" applyFont="1" applyFill="1" applyBorder="1" applyAlignment="1">
      <alignment horizontal="center" vertical="center" wrapText="1"/>
    </xf>
    <xf numFmtId="0" fontId="8" fillId="32" borderId="6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45" xfId="0" applyBorder="1"/>
    <xf numFmtId="0" fontId="8" fillId="30" borderId="128" xfId="0" applyFont="1" applyFill="1" applyBorder="1" applyAlignment="1">
      <alignment horizontal="center" vertical="center"/>
    </xf>
    <xf numFmtId="0" fontId="0" fillId="0" borderId="87" xfId="0" applyBorder="1"/>
    <xf numFmtId="0" fontId="0" fillId="0" borderId="88" xfId="0" applyBorder="1"/>
    <xf numFmtId="0" fontId="7" fillId="9" borderId="30" xfId="0" applyFont="1" applyFill="1" applyBorder="1" applyAlignment="1">
      <alignment horizontal="center"/>
    </xf>
    <xf numFmtId="0" fontId="0" fillId="0" borderId="31" xfId="0" applyBorder="1"/>
    <xf numFmtId="0" fontId="77" fillId="8" borderId="86" xfId="0" applyFont="1" applyFill="1" applyBorder="1" applyAlignment="1">
      <alignment horizontal="center" vertical="center" wrapText="1"/>
    </xf>
    <xf numFmtId="0" fontId="75" fillId="31" borderId="128" xfId="0" applyFont="1" applyFill="1" applyBorder="1" applyAlignment="1">
      <alignment horizontal="center" vertical="center" wrapText="1"/>
    </xf>
    <xf numFmtId="0" fontId="8" fillId="30" borderId="128" xfId="0" applyFont="1" applyFill="1" applyBorder="1" applyAlignment="1">
      <alignment horizontal="center" vertical="center" wrapText="1"/>
    </xf>
    <xf numFmtId="0" fontId="12" fillId="30" borderId="69" xfId="0" applyFont="1" applyFill="1" applyBorder="1" applyAlignment="1">
      <alignment horizontal="center"/>
    </xf>
    <xf numFmtId="0" fontId="8" fillId="30" borderId="129" xfId="0" applyFont="1" applyFill="1" applyBorder="1" applyAlignment="1">
      <alignment horizontal="center" vertical="center" wrapText="1"/>
    </xf>
    <xf numFmtId="0" fontId="0" fillId="0" borderId="61" xfId="0" applyBorder="1"/>
    <xf numFmtId="0" fontId="0" fillId="0" borderId="39" xfId="0" applyBorder="1"/>
    <xf numFmtId="0" fontId="7" fillId="0" borderId="9" xfId="0" applyFont="1" applyBorder="1" applyAlignment="1">
      <alignment horizontal="center"/>
    </xf>
    <xf numFmtId="0" fontId="0" fillId="0" borderId="10" xfId="0" applyBorder="1"/>
    <xf numFmtId="0" fontId="7" fillId="6" borderId="1" xfId="0" applyFont="1" applyFill="1" applyBorder="1" applyAlignment="1">
      <alignment horizontal="center" vertical="center"/>
    </xf>
    <xf numFmtId="0" fontId="0" fillId="0" borderId="55" xfId="0" applyBorder="1"/>
    <xf numFmtId="0" fontId="8" fillId="30" borderId="40" xfId="0" applyFont="1" applyFill="1" applyBorder="1" applyAlignment="1">
      <alignment horizontal="center" vertical="center" wrapText="1"/>
    </xf>
    <xf numFmtId="0" fontId="9" fillId="28" borderId="127" xfId="0" applyFont="1" applyFill="1" applyBorder="1" applyAlignment="1">
      <alignment horizontal="center" vertical="center" wrapText="1"/>
    </xf>
    <xf numFmtId="0" fontId="0" fillId="0" borderId="85" xfId="0" applyBorder="1"/>
    <xf numFmtId="0" fontId="29" fillId="17" borderId="21" xfId="0" applyFont="1" applyFill="1" applyBorder="1" applyAlignment="1">
      <alignment horizontal="center" vertical="center"/>
    </xf>
    <xf numFmtId="0" fontId="0" fillId="0" borderId="36" xfId="0" applyBorder="1"/>
    <xf numFmtId="0" fontId="0" fillId="0" borderId="57" xfId="0" applyBorder="1"/>
    <xf numFmtId="0" fontId="0" fillId="0" borderId="58" xfId="0" applyBorder="1"/>
    <xf numFmtId="0" fontId="28" fillId="0" borderId="131" xfId="0" applyFont="1" applyBorder="1" applyAlignment="1">
      <alignment horizontal="center" vertical="center"/>
    </xf>
    <xf numFmtId="0" fontId="0" fillId="0" borderId="0" xfId="0" applyBorder="1"/>
    <xf numFmtId="0" fontId="0" fillId="0" borderId="60" xfId="0" applyBorder="1"/>
    <xf numFmtId="0" fontId="29" fillId="0" borderId="21" xfId="0" applyFont="1" applyBorder="1" applyAlignment="1">
      <alignment horizontal="center" vertical="center"/>
    </xf>
    <xf numFmtId="0" fontId="0" fillId="0" borderId="52" xfId="0" applyBorder="1"/>
    <xf numFmtId="0" fontId="0" fillId="0" borderId="41" xfId="0" applyBorder="1"/>
    <xf numFmtId="17" fontId="31" fillId="15" borderId="59" xfId="0" applyNumberFormat="1" applyFont="1" applyFill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0" fillId="0" borderId="62" xfId="0" applyBorder="1"/>
    <xf numFmtId="0" fontId="30" fillId="14" borderId="8" xfId="0" applyFont="1" applyFill="1" applyBorder="1" applyAlignment="1">
      <alignment horizontal="center" vertical="center"/>
    </xf>
    <xf numFmtId="0" fontId="0" fillId="0" borderId="37" xfId="0" applyBorder="1"/>
    <xf numFmtId="0" fontId="7" fillId="6" borderId="131" xfId="0" applyFont="1" applyFill="1" applyBorder="1" applyAlignment="1">
      <alignment horizontal="center" vertical="center"/>
    </xf>
    <xf numFmtId="0" fontId="28" fillId="0" borderId="130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41" fillId="14" borderId="1" xfId="0" applyFont="1" applyFill="1" applyBorder="1" applyAlignment="1">
      <alignment horizontal="center" vertical="center"/>
    </xf>
    <xf numFmtId="0" fontId="70" fillId="0" borderId="6" xfId="0" applyFont="1" applyBorder="1" applyAlignment="1">
      <alignment horizontal="center" vertical="center"/>
    </xf>
    <xf numFmtId="0" fontId="0" fillId="0" borderId="43" xfId="0" applyBorder="1"/>
    <xf numFmtId="17" fontId="31" fillId="15" borderId="12" xfId="0" applyNumberFormat="1" applyFont="1" applyFill="1" applyBorder="1" applyAlignment="1">
      <alignment horizontal="center" vertical="center"/>
    </xf>
    <xf numFmtId="0" fontId="0" fillId="0" borderId="14" xfId="0" applyBorder="1"/>
    <xf numFmtId="0" fontId="31" fillId="0" borderId="3" xfId="0" applyFont="1" applyBorder="1" applyAlignment="1">
      <alignment horizontal="left" vertical="center"/>
    </xf>
    <xf numFmtId="0" fontId="0" fillId="0" borderId="51" xfId="0" applyBorder="1"/>
    <xf numFmtId="0" fontId="40" fillId="17" borderId="132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8" xfId="0" applyBorder="1"/>
    <xf numFmtId="0" fontId="29" fillId="18" borderId="41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0" fillId="0" borderId="42" xfId="0" applyBorder="1"/>
    <xf numFmtId="0" fontId="29" fillId="0" borderId="27" xfId="0" applyFont="1" applyBorder="1" applyAlignment="1">
      <alignment horizontal="center" vertical="center"/>
    </xf>
    <xf numFmtId="0" fontId="40" fillId="0" borderId="133" xfId="0" applyFont="1" applyBorder="1" applyAlignment="1">
      <alignment horizontal="center" vertical="center"/>
    </xf>
    <xf numFmtId="0" fontId="0" fillId="0" borderId="54" xfId="0" applyBorder="1"/>
    <xf numFmtId="0" fontId="32" fillId="17" borderId="21" xfId="0" applyFont="1" applyFill="1" applyBorder="1" applyAlignment="1">
      <alignment horizontal="center" vertical="center" wrapText="1"/>
    </xf>
    <xf numFmtId="0" fontId="46" fillId="17" borderId="21" xfId="0" applyFont="1" applyFill="1" applyBorder="1" applyAlignment="1">
      <alignment horizontal="center" vertical="center" wrapText="1"/>
    </xf>
    <xf numFmtId="0" fontId="44" fillId="17" borderId="39" xfId="0" applyFont="1" applyFill="1" applyBorder="1" applyAlignment="1">
      <alignment horizontal="center" vertical="center" wrapText="1"/>
    </xf>
    <xf numFmtId="0" fontId="44" fillId="0" borderId="25" xfId="0" applyFont="1" applyBorder="1" applyAlignment="1">
      <alignment horizontal="center" vertical="center"/>
    </xf>
    <xf numFmtId="0" fontId="0" fillId="0" borderId="26" xfId="0" applyBorder="1"/>
    <xf numFmtId="0" fontId="45" fillId="17" borderId="2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2" fillId="17" borderId="39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/>
    </xf>
    <xf numFmtId="0" fontId="32" fillId="17" borderId="40" xfId="0" applyFont="1" applyFill="1" applyBorder="1" applyAlignment="1">
      <alignment horizontal="center" vertical="center" wrapText="1"/>
    </xf>
    <xf numFmtId="0" fontId="0" fillId="0" borderId="59" xfId="0" applyBorder="1"/>
    <xf numFmtId="0" fontId="63" fillId="20" borderId="8" xfId="0" applyFont="1" applyFill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/>
    </xf>
    <xf numFmtId="0" fontId="0" fillId="0" borderId="53" xfId="0" applyBorder="1"/>
    <xf numFmtId="0" fontId="32" fillId="17" borderId="33" xfId="0" applyFont="1" applyFill="1" applyBorder="1" applyAlignment="1">
      <alignment horizontal="center" vertical="center" wrapText="1"/>
    </xf>
    <xf numFmtId="0" fontId="0" fillId="0" borderId="6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3"/>
  <sheetViews>
    <sheetView workbookViewId="0">
      <selection activeCell="C35" sqref="C35"/>
    </sheetView>
  </sheetViews>
  <sheetFormatPr defaultColWidth="12.5546875" defaultRowHeight="15" customHeight="1" x14ac:dyDescent="0.25"/>
  <cols>
    <col min="1" max="1" width="9.109375" customWidth="1"/>
    <col min="2" max="2" width="13" customWidth="1"/>
    <col min="3" max="3" width="15.5546875" customWidth="1"/>
    <col min="4" max="6" width="9.109375" customWidth="1"/>
  </cols>
  <sheetData>
    <row r="1" spans="1:3" ht="15.75" customHeight="1" x14ac:dyDescent="0.3">
      <c r="A1" s="1"/>
      <c r="B1" s="1"/>
      <c r="C1" s="1"/>
    </row>
    <row r="2" spans="1:3" ht="15.75" customHeight="1" x14ac:dyDescent="0.3">
      <c r="A2" s="1"/>
      <c r="B2" s="434" t="s">
        <v>0</v>
      </c>
      <c r="C2" s="435"/>
    </row>
    <row r="3" spans="1:3" ht="15.75" customHeight="1" x14ac:dyDescent="0.3">
      <c r="A3" s="1"/>
      <c r="B3" s="128" t="s">
        <v>1</v>
      </c>
      <c r="C3" s="2" t="s">
        <v>2</v>
      </c>
    </row>
    <row r="4" spans="1:3" ht="15.75" customHeight="1" x14ac:dyDescent="0.3">
      <c r="A4" s="1"/>
      <c r="B4" s="129" t="s">
        <v>3</v>
      </c>
      <c r="C4" s="3">
        <v>120</v>
      </c>
    </row>
    <row r="5" spans="1:3" ht="15.75" customHeight="1" x14ac:dyDescent="0.3">
      <c r="A5" s="1"/>
      <c r="B5" s="130" t="s">
        <v>4</v>
      </c>
      <c r="C5" s="4">
        <v>53</v>
      </c>
    </row>
    <row r="6" spans="1:3" ht="15.75" customHeight="1" x14ac:dyDescent="0.3">
      <c r="A6" s="1"/>
      <c r="B6" s="130" t="s">
        <v>5</v>
      </c>
      <c r="C6" s="4">
        <v>60</v>
      </c>
    </row>
    <row r="7" spans="1:3" ht="15.75" customHeight="1" x14ac:dyDescent="0.3">
      <c r="A7" s="1"/>
      <c r="B7" s="130" t="s">
        <v>6</v>
      </c>
      <c r="C7" s="4">
        <v>60</v>
      </c>
    </row>
    <row r="8" spans="1:3" ht="15.75" customHeight="1" x14ac:dyDescent="0.3">
      <c r="A8" s="1"/>
      <c r="B8" s="130" t="s">
        <v>7</v>
      </c>
      <c r="C8" s="4">
        <v>80</v>
      </c>
    </row>
    <row r="9" spans="1:3" ht="15.75" customHeight="1" x14ac:dyDescent="0.3">
      <c r="A9" s="1"/>
      <c r="B9" s="130" t="s">
        <v>8</v>
      </c>
      <c r="C9" s="4">
        <v>48</v>
      </c>
    </row>
    <row r="10" spans="1:3" ht="15.75" customHeight="1" x14ac:dyDescent="0.3">
      <c r="A10" s="1"/>
      <c r="B10" s="130" t="s">
        <v>9</v>
      </c>
      <c r="C10" s="4">
        <v>60</v>
      </c>
    </row>
    <row r="11" spans="1:3" ht="15.75" customHeight="1" x14ac:dyDescent="0.3">
      <c r="A11" s="1"/>
      <c r="B11" s="130" t="s">
        <v>10</v>
      </c>
      <c r="C11" s="4">
        <v>40</v>
      </c>
    </row>
    <row r="12" spans="1:3" ht="15.75" customHeight="1" x14ac:dyDescent="0.3">
      <c r="A12" s="1"/>
      <c r="B12" s="130" t="s">
        <v>11</v>
      </c>
      <c r="C12" s="4">
        <v>300</v>
      </c>
    </row>
    <row r="13" spans="1:3" ht="15.75" customHeight="1" x14ac:dyDescent="0.3">
      <c r="A13" s="1"/>
      <c r="B13" s="130" t="s">
        <v>12</v>
      </c>
      <c r="C13" s="4">
        <v>80</v>
      </c>
    </row>
    <row r="14" spans="1:3" ht="15.75" customHeight="1" x14ac:dyDescent="0.3">
      <c r="A14" s="1"/>
      <c r="B14" s="130" t="s">
        <v>13</v>
      </c>
      <c r="C14" s="4">
        <v>32</v>
      </c>
    </row>
    <row r="15" spans="1:3" ht="15.75" customHeight="1" x14ac:dyDescent="0.3">
      <c r="A15" s="1"/>
      <c r="B15" s="130" t="s">
        <v>14</v>
      </c>
      <c r="C15" s="4">
        <v>40</v>
      </c>
    </row>
    <row r="16" spans="1:3" ht="15.75" customHeight="1" x14ac:dyDescent="0.3">
      <c r="A16" s="1"/>
      <c r="B16" s="130" t="s">
        <v>15</v>
      </c>
      <c r="C16" s="4">
        <v>40</v>
      </c>
    </row>
    <row r="17" spans="1:3" ht="15.75" customHeight="1" x14ac:dyDescent="0.3">
      <c r="A17" s="1"/>
      <c r="B17" s="130" t="s">
        <v>16</v>
      </c>
      <c r="C17" s="4">
        <v>250</v>
      </c>
    </row>
    <row r="18" spans="1:3" ht="15.75" customHeight="1" x14ac:dyDescent="0.3">
      <c r="A18" s="1"/>
      <c r="B18" s="130" t="s">
        <v>17</v>
      </c>
      <c r="C18" s="4">
        <v>45</v>
      </c>
    </row>
    <row r="19" spans="1:3" ht="15.75" customHeight="1" x14ac:dyDescent="0.3">
      <c r="A19" s="1"/>
      <c r="B19" s="130" t="s">
        <v>18</v>
      </c>
      <c r="C19" s="4">
        <v>45</v>
      </c>
    </row>
    <row r="20" spans="1:3" ht="15.75" customHeight="1" x14ac:dyDescent="0.3">
      <c r="A20" s="1"/>
      <c r="B20" s="130" t="s">
        <v>19</v>
      </c>
      <c r="C20" s="4">
        <v>80</v>
      </c>
    </row>
    <row r="21" spans="1:3" ht="15.75" customHeight="1" x14ac:dyDescent="0.3">
      <c r="A21" s="1"/>
      <c r="B21" s="130" t="s">
        <v>20</v>
      </c>
      <c r="C21" s="4">
        <v>97</v>
      </c>
    </row>
    <row r="22" spans="1:3" ht="15.75" customHeight="1" x14ac:dyDescent="0.3">
      <c r="A22" s="1"/>
      <c r="B22" s="131" t="s">
        <v>21</v>
      </c>
      <c r="C22" s="4">
        <v>0</v>
      </c>
    </row>
    <row r="23" spans="1:3" ht="15.75" customHeight="1" x14ac:dyDescent="0.3">
      <c r="A23" s="1"/>
      <c r="B23" s="130" t="s">
        <v>22</v>
      </c>
      <c r="C23" s="4">
        <v>8</v>
      </c>
    </row>
    <row r="24" spans="1:3" ht="15.75" customHeight="1" x14ac:dyDescent="0.3">
      <c r="A24" s="1"/>
      <c r="B24" s="132" t="s">
        <v>23</v>
      </c>
      <c r="C24" s="5">
        <v>8</v>
      </c>
    </row>
    <row r="25" spans="1:3" ht="15.75" customHeight="1" x14ac:dyDescent="0.3">
      <c r="A25" s="1"/>
      <c r="B25" s="6" t="s">
        <v>24</v>
      </c>
      <c r="C25" s="3">
        <v>200</v>
      </c>
    </row>
    <row r="26" spans="1:3" ht="15.75" customHeight="1" x14ac:dyDescent="0.3">
      <c r="A26" s="1"/>
      <c r="B26" s="7" t="s">
        <v>25</v>
      </c>
      <c r="C26" s="4">
        <v>80</v>
      </c>
    </row>
    <row r="27" spans="1:3" ht="15.75" customHeight="1" x14ac:dyDescent="0.3">
      <c r="A27" s="1"/>
      <c r="B27" s="7" t="s">
        <v>26</v>
      </c>
      <c r="C27" s="4">
        <v>4</v>
      </c>
    </row>
    <row r="28" spans="1:3" ht="15.75" customHeight="1" x14ac:dyDescent="0.3">
      <c r="A28" s="1"/>
      <c r="B28" s="7" t="s">
        <v>27</v>
      </c>
      <c r="C28" s="4">
        <v>4</v>
      </c>
    </row>
    <row r="29" spans="1:3" ht="15.75" customHeight="1" x14ac:dyDescent="0.3">
      <c r="A29" s="1"/>
      <c r="B29" s="7" t="s">
        <v>28</v>
      </c>
      <c r="C29" s="4">
        <v>4</v>
      </c>
    </row>
    <row r="30" spans="1:3" ht="15.75" customHeight="1" x14ac:dyDescent="0.3">
      <c r="A30" s="1"/>
      <c r="B30" s="8" t="s">
        <v>29</v>
      </c>
      <c r="C30" s="9">
        <v>78</v>
      </c>
    </row>
    <row r="31" spans="1:3" ht="15.75" customHeight="1" x14ac:dyDescent="0.3">
      <c r="A31" s="1"/>
      <c r="B31" s="7" t="s">
        <v>30</v>
      </c>
      <c r="C31" s="4">
        <v>120</v>
      </c>
    </row>
    <row r="32" spans="1:3" ht="15.75" customHeight="1" x14ac:dyDescent="0.3">
      <c r="A32" s="1"/>
      <c r="B32" s="7" t="s">
        <v>31</v>
      </c>
      <c r="C32" s="4">
        <v>86</v>
      </c>
    </row>
    <row r="33" spans="1:3" ht="15.75" customHeight="1" x14ac:dyDescent="0.3">
      <c r="A33" s="1"/>
      <c r="B33" s="7" t="s">
        <v>32</v>
      </c>
      <c r="C33" s="4">
        <v>28</v>
      </c>
    </row>
    <row r="34" spans="1:3" ht="15.75" customHeight="1" x14ac:dyDescent="0.3">
      <c r="A34" s="1"/>
      <c r="B34" s="7" t="s">
        <v>33</v>
      </c>
      <c r="C34" s="4">
        <v>300</v>
      </c>
    </row>
    <row r="35" spans="1:3" ht="15.75" customHeight="1" x14ac:dyDescent="0.3">
      <c r="A35" s="1"/>
      <c r="B35" s="7" t="s">
        <v>34</v>
      </c>
      <c r="C35" s="4">
        <v>20</v>
      </c>
    </row>
    <row r="36" spans="1:3" ht="15.75" customHeight="1" x14ac:dyDescent="0.3">
      <c r="A36" s="1"/>
      <c r="B36" s="7" t="s">
        <v>35</v>
      </c>
      <c r="C36" s="4">
        <v>45</v>
      </c>
    </row>
    <row r="37" spans="1:3" ht="15.75" customHeight="1" x14ac:dyDescent="0.3">
      <c r="A37" s="1"/>
      <c r="B37" s="7" t="s">
        <v>36</v>
      </c>
      <c r="C37" s="4">
        <v>200</v>
      </c>
    </row>
    <row r="38" spans="1:3" ht="15.75" customHeight="1" x14ac:dyDescent="0.3">
      <c r="A38" s="1"/>
      <c r="B38" s="8" t="s">
        <v>37</v>
      </c>
      <c r="C38" s="4">
        <v>5</v>
      </c>
    </row>
    <row r="39" spans="1:3" ht="15.75" customHeight="1" x14ac:dyDescent="0.3">
      <c r="A39" s="1"/>
      <c r="B39" s="7" t="s">
        <v>38</v>
      </c>
      <c r="C39" s="4">
        <v>4</v>
      </c>
    </row>
    <row r="40" spans="1:3" ht="15.75" customHeight="1" x14ac:dyDescent="0.3">
      <c r="A40" s="1"/>
      <c r="B40" s="7" t="s">
        <v>39</v>
      </c>
      <c r="C40" s="4">
        <v>30</v>
      </c>
    </row>
    <row r="41" spans="1:3" ht="15.75" customHeight="1" x14ac:dyDescent="0.3">
      <c r="A41" s="1"/>
      <c r="B41" s="7" t="s">
        <v>40</v>
      </c>
      <c r="C41" s="4">
        <v>200</v>
      </c>
    </row>
    <row r="42" spans="1:3" ht="15.75" customHeight="1" x14ac:dyDescent="0.3">
      <c r="A42" s="1"/>
      <c r="B42" s="10" t="s">
        <v>41</v>
      </c>
      <c r="C42" s="5">
        <v>20</v>
      </c>
    </row>
    <row r="43" spans="1:3" ht="15.75" customHeight="1" x14ac:dyDescent="0.3">
      <c r="A43" s="1"/>
      <c r="B43" s="133" t="s">
        <v>42</v>
      </c>
      <c r="C43" s="11">
        <v>16</v>
      </c>
    </row>
    <row r="44" spans="1:3" ht="15.75" customHeight="1" x14ac:dyDescent="0.3">
      <c r="A44" s="1"/>
      <c r="B44" s="134" t="s">
        <v>43</v>
      </c>
      <c r="C44" s="4">
        <v>20</v>
      </c>
    </row>
    <row r="45" spans="1:3" ht="15.75" customHeight="1" x14ac:dyDescent="0.3">
      <c r="A45" s="1"/>
      <c r="B45" s="134" t="s">
        <v>44</v>
      </c>
      <c r="C45" s="4">
        <v>20</v>
      </c>
    </row>
    <row r="46" spans="1:3" ht="15.75" customHeight="1" x14ac:dyDescent="0.3">
      <c r="A46" s="1"/>
      <c r="B46" s="134" t="s">
        <v>45</v>
      </c>
      <c r="C46" s="4">
        <v>20</v>
      </c>
    </row>
    <row r="47" spans="1:3" ht="15.75" customHeight="1" x14ac:dyDescent="0.3">
      <c r="A47" s="1"/>
      <c r="B47" s="134" t="s">
        <v>46</v>
      </c>
      <c r="C47" s="4">
        <v>20</v>
      </c>
    </row>
    <row r="48" spans="1:3" ht="15.75" customHeight="1" x14ac:dyDescent="0.3">
      <c r="A48" s="1"/>
      <c r="B48" s="134" t="s">
        <v>47</v>
      </c>
      <c r="C48" s="4">
        <v>20</v>
      </c>
    </row>
    <row r="49" spans="1:3" ht="15.75" customHeight="1" x14ac:dyDescent="0.3">
      <c r="A49" s="1"/>
      <c r="B49" s="134" t="s">
        <v>48</v>
      </c>
      <c r="C49" s="4">
        <v>400</v>
      </c>
    </row>
    <row r="50" spans="1:3" ht="15.75" customHeight="1" x14ac:dyDescent="0.3">
      <c r="A50" s="1"/>
      <c r="B50" s="135" t="s">
        <v>49</v>
      </c>
      <c r="C50" s="4">
        <v>5</v>
      </c>
    </row>
    <row r="51" spans="1:3" ht="15.75" customHeight="1" x14ac:dyDescent="0.3">
      <c r="A51" s="1"/>
      <c r="B51" s="135" t="s">
        <v>50</v>
      </c>
      <c r="C51" s="4">
        <v>5</v>
      </c>
    </row>
    <row r="52" spans="1:3" ht="15.75" customHeight="1" x14ac:dyDescent="0.3">
      <c r="A52" s="1"/>
      <c r="B52" s="135" t="s">
        <v>51</v>
      </c>
      <c r="C52" s="4">
        <v>0</v>
      </c>
    </row>
    <row r="53" spans="1:3" ht="15.75" customHeight="1" x14ac:dyDescent="0.3">
      <c r="A53" s="1"/>
      <c r="B53" s="135" t="s">
        <v>52</v>
      </c>
      <c r="C53" s="4">
        <v>5</v>
      </c>
    </row>
    <row r="54" spans="1:3" ht="15.75" customHeight="1" x14ac:dyDescent="0.3">
      <c r="A54" s="1"/>
      <c r="B54" s="134" t="s">
        <v>53</v>
      </c>
      <c r="C54" s="4">
        <v>8</v>
      </c>
    </row>
    <row r="55" spans="1:3" ht="15.75" customHeight="1" x14ac:dyDescent="0.3">
      <c r="A55" s="1"/>
      <c r="B55" s="134" t="s">
        <v>54</v>
      </c>
      <c r="C55" s="4">
        <v>40</v>
      </c>
    </row>
    <row r="56" spans="1:3" ht="15.75" customHeight="1" x14ac:dyDescent="0.3">
      <c r="A56" s="1"/>
      <c r="B56" s="134" t="s">
        <v>55</v>
      </c>
      <c r="C56" s="4">
        <v>40</v>
      </c>
    </row>
    <row r="57" spans="1:3" ht="15.75" customHeight="1" x14ac:dyDescent="0.3">
      <c r="A57" s="1"/>
      <c r="B57" s="135" t="s">
        <v>56</v>
      </c>
      <c r="C57" s="9">
        <v>84</v>
      </c>
    </row>
    <row r="58" spans="1:3" ht="15.75" customHeight="1" x14ac:dyDescent="0.3">
      <c r="A58" s="1"/>
      <c r="B58" s="134" t="s">
        <v>57</v>
      </c>
      <c r="C58" s="4">
        <v>4</v>
      </c>
    </row>
    <row r="59" spans="1:3" ht="15.75" customHeight="1" x14ac:dyDescent="0.3">
      <c r="A59" s="1"/>
      <c r="B59" s="134" t="s">
        <v>58</v>
      </c>
      <c r="C59" s="4">
        <v>200</v>
      </c>
    </row>
    <row r="60" spans="1:3" ht="15.75" customHeight="1" x14ac:dyDescent="0.3">
      <c r="A60" s="1"/>
      <c r="B60" s="134" t="s">
        <v>59</v>
      </c>
      <c r="C60" s="4">
        <v>4</v>
      </c>
    </row>
    <row r="61" spans="1:3" ht="15.75" customHeight="1" x14ac:dyDescent="0.3">
      <c r="A61" s="1"/>
      <c r="B61" s="134" t="s">
        <v>60</v>
      </c>
      <c r="C61" s="4">
        <v>20</v>
      </c>
    </row>
    <row r="62" spans="1:3" ht="15.75" customHeight="1" x14ac:dyDescent="0.3">
      <c r="A62" s="1"/>
      <c r="B62" s="134" t="s">
        <v>61</v>
      </c>
      <c r="C62" s="4">
        <v>20</v>
      </c>
    </row>
    <row r="63" spans="1:3" ht="15.75" customHeight="1" x14ac:dyDescent="0.3">
      <c r="A63" s="1"/>
      <c r="B63" s="134" t="s">
        <v>62</v>
      </c>
      <c r="C63" s="4">
        <v>20</v>
      </c>
    </row>
    <row r="64" spans="1:3" ht="15.75" customHeight="1" x14ac:dyDescent="0.3">
      <c r="A64" s="1"/>
      <c r="B64" s="134" t="s">
        <v>63</v>
      </c>
      <c r="C64" s="4">
        <v>20</v>
      </c>
    </row>
    <row r="65" spans="1:3" ht="15.75" customHeight="1" x14ac:dyDescent="0.3">
      <c r="A65" s="1"/>
      <c r="B65" s="134" t="s">
        <v>64</v>
      </c>
      <c r="C65" s="4">
        <v>20</v>
      </c>
    </row>
    <row r="66" spans="1:3" ht="15.75" customHeight="1" x14ac:dyDescent="0.3">
      <c r="A66" s="1"/>
      <c r="B66" s="134" t="s">
        <v>65</v>
      </c>
      <c r="C66" s="4">
        <v>20</v>
      </c>
    </row>
    <row r="67" spans="1:3" ht="15.75" customHeight="1" x14ac:dyDescent="0.3">
      <c r="A67" s="1"/>
      <c r="B67" s="135" t="s">
        <v>66</v>
      </c>
      <c r="C67" s="4">
        <v>5</v>
      </c>
    </row>
    <row r="68" spans="1:3" ht="15.75" customHeight="1" x14ac:dyDescent="0.3">
      <c r="A68" s="1"/>
      <c r="B68" s="12" t="s">
        <v>67</v>
      </c>
      <c r="C68" s="4">
        <v>20</v>
      </c>
    </row>
    <row r="69" spans="1:3" ht="15.75" customHeight="1" x14ac:dyDescent="0.3">
      <c r="A69" s="1"/>
      <c r="B69" s="134" t="s">
        <v>68</v>
      </c>
      <c r="C69" s="4">
        <v>28</v>
      </c>
    </row>
    <row r="70" spans="1:3" ht="15.75" customHeight="1" x14ac:dyDescent="0.3">
      <c r="A70" s="1"/>
      <c r="B70" s="136" t="s">
        <v>69</v>
      </c>
      <c r="C70" s="13">
        <v>20</v>
      </c>
    </row>
    <row r="71" spans="1:3" ht="15.75" customHeight="1" x14ac:dyDescent="0.3">
      <c r="A71" s="1"/>
      <c r="B71" s="137" t="s">
        <v>70</v>
      </c>
      <c r="C71" s="13">
        <v>30</v>
      </c>
    </row>
    <row r="72" spans="1:3" ht="15.75" customHeight="1" x14ac:dyDescent="0.3">
      <c r="A72" s="1"/>
      <c r="B72" s="138" t="s">
        <v>71</v>
      </c>
      <c r="C72" s="3">
        <v>7</v>
      </c>
    </row>
    <row r="73" spans="1:3" ht="15.75" customHeight="1" x14ac:dyDescent="0.3">
      <c r="A73" s="1"/>
      <c r="B73" s="139" t="s">
        <v>72</v>
      </c>
      <c r="C73" s="4">
        <v>12</v>
      </c>
    </row>
    <row r="74" spans="1:3" ht="15.75" customHeight="1" x14ac:dyDescent="0.3">
      <c r="A74" s="1"/>
      <c r="B74" s="139" t="s">
        <v>73</v>
      </c>
      <c r="C74" s="4">
        <v>12</v>
      </c>
    </row>
    <row r="75" spans="1:3" ht="15.75" customHeight="1" x14ac:dyDescent="0.25">
      <c r="B75" s="139" t="s">
        <v>74</v>
      </c>
      <c r="C75" s="4">
        <v>12</v>
      </c>
    </row>
    <row r="76" spans="1:3" ht="15.75" customHeight="1" x14ac:dyDescent="0.25">
      <c r="B76" s="139" t="s">
        <v>75</v>
      </c>
      <c r="C76" s="4">
        <v>8</v>
      </c>
    </row>
    <row r="77" spans="1:3" ht="15.75" customHeight="1" x14ac:dyDescent="0.25">
      <c r="B77" s="139" t="s">
        <v>76</v>
      </c>
      <c r="C77" s="4">
        <v>300</v>
      </c>
    </row>
    <row r="78" spans="1:3" ht="15.75" customHeight="1" x14ac:dyDescent="0.25">
      <c r="B78" s="139" t="s">
        <v>77</v>
      </c>
      <c r="C78" s="4">
        <v>300</v>
      </c>
    </row>
    <row r="79" spans="1:3" ht="15.75" customHeight="1" x14ac:dyDescent="0.25">
      <c r="B79" s="139" t="s">
        <v>78</v>
      </c>
      <c r="C79" s="4">
        <v>30</v>
      </c>
    </row>
    <row r="80" spans="1:3" ht="15.75" customHeight="1" x14ac:dyDescent="0.25">
      <c r="B80" s="140" t="s">
        <v>79</v>
      </c>
      <c r="C80" s="9">
        <v>5</v>
      </c>
    </row>
    <row r="81" spans="2:3" ht="15.75" customHeight="1" x14ac:dyDescent="0.25">
      <c r="B81" s="140" t="s">
        <v>80</v>
      </c>
      <c r="C81" s="9">
        <v>42</v>
      </c>
    </row>
    <row r="82" spans="2:3" ht="15.75" customHeight="1" x14ac:dyDescent="0.25">
      <c r="B82" s="139" t="s">
        <v>81</v>
      </c>
      <c r="C82" s="4">
        <v>40</v>
      </c>
    </row>
    <row r="83" spans="2:3" ht="15.75" customHeight="1" x14ac:dyDescent="0.25">
      <c r="B83" s="139" t="s">
        <v>82</v>
      </c>
      <c r="C83" s="4">
        <v>80</v>
      </c>
    </row>
    <row r="84" spans="2:3" ht="15.75" customHeight="1" x14ac:dyDescent="0.25">
      <c r="B84" s="139" t="s">
        <v>83</v>
      </c>
      <c r="C84" s="4">
        <v>4</v>
      </c>
    </row>
    <row r="85" spans="2:3" ht="15.75" customHeight="1" x14ac:dyDescent="0.25">
      <c r="B85" s="139" t="s">
        <v>84</v>
      </c>
      <c r="C85" s="4">
        <v>4</v>
      </c>
    </row>
    <row r="86" spans="2:3" ht="15.75" customHeight="1" x14ac:dyDescent="0.25">
      <c r="B86" s="139" t="s">
        <v>85</v>
      </c>
      <c r="C86" s="4">
        <v>200</v>
      </c>
    </row>
    <row r="87" spans="2:3" ht="15.75" customHeight="1" x14ac:dyDescent="0.25">
      <c r="B87" s="141" t="s">
        <v>86</v>
      </c>
      <c r="C87" s="13">
        <v>5</v>
      </c>
    </row>
    <row r="88" spans="2:3" ht="15.75" customHeight="1" x14ac:dyDescent="0.25">
      <c r="B88" s="142" t="s">
        <v>87</v>
      </c>
      <c r="C88" s="14">
        <v>27</v>
      </c>
    </row>
    <row r="89" spans="2:3" ht="15.75" customHeight="1" x14ac:dyDescent="0.25"/>
    <row r="90" spans="2:3" ht="15.75" customHeight="1" x14ac:dyDescent="0.25"/>
    <row r="91" spans="2:3" ht="15.75" customHeight="1" x14ac:dyDescent="0.25"/>
    <row r="92" spans="2:3" ht="15.75" customHeight="1" x14ac:dyDescent="0.25"/>
    <row r="93" spans="2:3" ht="15.75" customHeight="1" x14ac:dyDescent="0.25"/>
    <row r="94" spans="2:3" ht="15.75" customHeight="1" x14ac:dyDescent="0.25"/>
    <row r="95" spans="2:3" ht="15.75" customHeight="1" x14ac:dyDescent="0.25"/>
    <row r="96" spans="2: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1">
    <mergeCell ref="B2:C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991"/>
  <sheetViews>
    <sheetView zoomScale="70" zoomScaleNormal="70" workbookViewId="0">
      <pane xSplit="2" ySplit="3" topLeftCell="C63" activePane="bottomRight" state="frozen"/>
      <selection pane="topRight" activeCell="C1" sqref="C1"/>
      <selection pane="bottomLeft" activeCell="A4" sqref="A4"/>
      <selection pane="bottomRight" activeCell="G2" sqref="G2:AK2"/>
    </sheetView>
  </sheetViews>
  <sheetFormatPr defaultColWidth="12.5546875" defaultRowHeight="15" customHeight="1" x14ac:dyDescent="0.3"/>
  <cols>
    <col min="1" max="1" width="7.33203125" customWidth="1"/>
    <col min="2" max="2" width="19.5546875" customWidth="1"/>
    <col min="3" max="3" width="11.44140625" customWidth="1"/>
    <col min="4" max="4" width="12.6640625" style="195" bestFit="1" customWidth="1"/>
    <col min="5" max="5" width="15.33203125" customWidth="1"/>
    <col min="6" max="6" width="13.6640625" customWidth="1"/>
    <col min="7" max="15" width="5.6640625" customWidth="1"/>
    <col min="16" max="16" width="5.6640625" style="194" customWidth="1"/>
    <col min="17" max="18" width="5.6640625" customWidth="1"/>
    <col min="19" max="19" width="6.33203125" customWidth="1"/>
    <col min="20" max="22" width="5.6640625" customWidth="1"/>
    <col min="23" max="23" width="5.6640625" style="418" customWidth="1"/>
    <col min="24" max="24" width="5.6640625" customWidth="1"/>
    <col min="25" max="25" width="6.44140625" customWidth="1"/>
    <col min="26" max="26" width="6.109375" style="194" customWidth="1"/>
    <col min="27" max="28" width="5.6640625" customWidth="1"/>
    <col min="29" max="29" width="8.5546875" customWidth="1"/>
    <col min="30" max="37" width="5.6640625" customWidth="1"/>
    <col min="38" max="38" width="11.5546875" customWidth="1"/>
    <col min="39" max="39" width="9.109375" customWidth="1"/>
  </cols>
  <sheetData>
    <row r="1" spans="1:39" ht="15.75" customHeight="1" x14ac:dyDescent="0.3"/>
    <row r="2" spans="1:39" ht="15.75" customHeight="1" thickBot="1" x14ac:dyDescent="0.35">
      <c r="A2" s="15" t="s">
        <v>88</v>
      </c>
      <c r="B2" s="143" t="s">
        <v>89</v>
      </c>
      <c r="C2" s="16" t="s">
        <v>90</v>
      </c>
      <c r="D2" s="399" t="s">
        <v>91</v>
      </c>
      <c r="E2" s="448" t="s">
        <v>0</v>
      </c>
      <c r="F2" s="449"/>
      <c r="G2" s="450" t="s">
        <v>92</v>
      </c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51"/>
      <c r="AL2" s="1"/>
      <c r="AM2" s="18"/>
    </row>
    <row r="3" spans="1:39" ht="70.5" customHeight="1" thickBot="1" x14ac:dyDescent="0.3">
      <c r="A3" s="19" t="s">
        <v>93</v>
      </c>
      <c r="B3" s="128" t="s">
        <v>1</v>
      </c>
      <c r="C3" s="128" t="s">
        <v>94</v>
      </c>
      <c r="D3" s="128" t="s">
        <v>95</v>
      </c>
      <c r="E3" s="2" t="s">
        <v>2</v>
      </c>
      <c r="F3" s="278" t="s">
        <v>96</v>
      </c>
      <c r="G3" s="249">
        <v>1</v>
      </c>
      <c r="H3" s="247">
        <v>2</v>
      </c>
      <c r="I3" s="247">
        <v>3</v>
      </c>
      <c r="J3" s="247">
        <v>4</v>
      </c>
      <c r="K3" s="247">
        <v>5</v>
      </c>
      <c r="L3" s="248">
        <v>6</v>
      </c>
      <c r="M3" s="247">
        <v>7</v>
      </c>
      <c r="N3" s="249">
        <v>8</v>
      </c>
      <c r="O3" s="247">
        <v>9</v>
      </c>
      <c r="P3" s="247">
        <v>10</v>
      </c>
      <c r="Q3" s="247">
        <v>11</v>
      </c>
      <c r="R3" s="247">
        <v>12</v>
      </c>
      <c r="S3" s="247">
        <v>13</v>
      </c>
      <c r="T3" s="247">
        <v>14</v>
      </c>
      <c r="U3" s="247">
        <v>15</v>
      </c>
      <c r="V3" s="247">
        <v>16</v>
      </c>
      <c r="W3" s="419">
        <v>17</v>
      </c>
      <c r="X3" s="247">
        <v>18</v>
      </c>
      <c r="Y3" s="247">
        <v>19</v>
      </c>
      <c r="Z3" s="247">
        <v>20</v>
      </c>
      <c r="AA3" s="247">
        <v>21</v>
      </c>
      <c r="AB3" s="247">
        <v>22</v>
      </c>
      <c r="AC3" s="247">
        <v>23</v>
      </c>
      <c r="AD3" s="247">
        <v>24</v>
      </c>
      <c r="AE3" s="247">
        <v>25</v>
      </c>
      <c r="AF3" s="247">
        <v>26</v>
      </c>
      <c r="AG3" s="247">
        <v>27</v>
      </c>
      <c r="AH3" s="247">
        <v>28</v>
      </c>
      <c r="AI3" s="247">
        <v>29</v>
      </c>
      <c r="AJ3" s="248">
        <v>30</v>
      </c>
      <c r="AK3" s="250">
        <v>31</v>
      </c>
      <c r="AL3" s="20" t="s">
        <v>97</v>
      </c>
      <c r="AM3" s="21" t="s">
        <v>98</v>
      </c>
    </row>
    <row r="4" spans="1:39" ht="18" customHeight="1" x14ac:dyDescent="0.25">
      <c r="A4" s="22">
        <v>1</v>
      </c>
      <c r="B4" s="129" t="s">
        <v>3</v>
      </c>
      <c r="C4" s="23" t="s">
        <v>99</v>
      </c>
      <c r="D4" s="196">
        <v>300</v>
      </c>
      <c r="E4" s="3">
        <v>80</v>
      </c>
      <c r="F4" s="23">
        <f t="shared" ref="F4:F40" si="0">E4/4</f>
        <v>20</v>
      </c>
      <c r="G4" s="333"/>
      <c r="H4" s="443"/>
      <c r="I4" s="334"/>
      <c r="J4" s="335"/>
      <c r="K4" s="318"/>
      <c r="L4" s="316"/>
      <c r="M4" s="443"/>
      <c r="N4" s="316"/>
      <c r="O4" s="316"/>
      <c r="P4" s="392"/>
      <c r="Q4" s="316"/>
      <c r="R4" s="337"/>
      <c r="S4" s="318"/>
      <c r="T4" s="443"/>
      <c r="U4" s="316"/>
      <c r="V4" s="316"/>
      <c r="W4" s="316"/>
      <c r="X4" s="316"/>
      <c r="Y4" s="316"/>
      <c r="Z4" s="316"/>
      <c r="AA4" s="443"/>
      <c r="AB4" s="316"/>
      <c r="AC4" s="316">
        <v>50</v>
      </c>
      <c r="AD4" s="336"/>
      <c r="AE4" s="338"/>
      <c r="AF4" s="338"/>
      <c r="AG4" s="338"/>
      <c r="AH4" s="339"/>
      <c r="AI4" s="338"/>
      <c r="AJ4" s="338"/>
      <c r="AK4" s="340"/>
      <c r="AL4" s="211">
        <f t="shared" ref="AL4:AL35" si="1">SUM(G4:AK4)</f>
        <v>50</v>
      </c>
      <c r="AM4" s="144">
        <f t="shared" ref="AM4:AM35" si="2">E4-AL4</f>
        <v>30</v>
      </c>
    </row>
    <row r="5" spans="1:39" ht="15.75" customHeight="1" x14ac:dyDescent="0.3">
      <c r="A5" s="24">
        <v>2</v>
      </c>
      <c r="B5" s="130" t="s">
        <v>4</v>
      </c>
      <c r="C5" s="25">
        <v>10</v>
      </c>
      <c r="D5" s="197">
        <v>50</v>
      </c>
      <c r="E5" s="4">
        <v>53</v>
      </c>
      <c r="F5" s="25">
        <f t="shared" si="0"/>
        <v>13.25</v>
      </c>
      <c r="G5" s="341"/>
      <c r="H5" s="437"/>
      <c r="I5" s="300"/>
      <c r="J5" s="217"/>
      <c r="K5" s="218"/>
      <c r="L5" s="216"/>
      <c r="M5" s="437"/>
      <c r="N5" s="295"/>
      <c r="O5" s="216"/>
      <c r="P5" s="393"/>
      <c r="Q5" s="220"/>
      <c r="R5" s="218"/>
      <c r="S5" s="218"/>
      <c r="T5" s="437"/>
      <c r="U5" s="216"/>
      <c r="V5" s="295"/>
      <c r="W5" s="216"/>
      <c r="X5" s="216"/>
      <c r="Y5" s="216"/>
      <c r="Z5" s="216"/>
      <c r="AA5" s="437"/>
      <c r="AB5" s="432"/>
      <c r="AC5" s="216"/>
      <c r="AD5" s="219"/>
      <c r="AE5" s="226"/>
      <c r="AF5" s="226"/>
      <c r="AG5" s="226"/>
      <c r="AH5" s="221"/>
      <c r="AI5" s="226"/>
      <c r="AJ5" s="226"/>
      <c r="AK5" s="342"/>
      <c r="AL5" s="212">
        <f t="shared" si="1"/>
        <v>0</v>
      </c>
      <c r="AM5" s="145">
        <f t="shared" si="2"/>
        <v>53</v>
      </c>
    </row>
    <row r="6" spans="1:39" ht="15.75" customHeight="1" x14ac:dyDescent="0.3">
      <c r="A6" s="24">
        <v>3</v>
      </c>
      <c r="B6" s="130" t="s">
        <v>5</v>
      </c>
      <c r="C6" s="25">
        <v>18</v>
      </c>
      <c r="D6" s="197">
        <v>30</v>
      </c>
      <c r="E6" s="4">
        <v>60</v>
      </c>
      <c r="F6" s="25">
        <f t="shared" si="0"/>
        <v>15</v>
      </c>
      <c r="G6" s="343"/>
      <c r="H6" s="437"/>
      <c r="I6" s="218"/>
      <c r="J6" s="217"/>
      <c r="K6" s="218"/>
      <c r="L6" s="216"/>
      <c r="M6" s="437"/>
      <c r="N6" s="216"/>
      <c r="O6" s="216"/>
      <c r="P6" s="393"/>
      <c r="Q6" s="220"/>
      <c r="R6" s="218"/>
      <c r="S6" s="218"/>
      <c r="T6" s="437"/>
      <c r="U6" s="295"/>
      <c r="V6" s="216"/>
      <c r="W6" s="216"/>
      <c r="X6" s="216"/>
      <c r="Y6" s="216"/>
      <c r="Z6" s="216"/>
      <c r="AA6" s="437"/>
      <c r="AB6" s="432"/>
      <c r="AC6" s="216"/>
      <c r="AD6" s="219"/>
      <c r="AE6" s="226"/>
      <c r="AF6" s="226"/>
      <c r="AG6" s="226"/>
      <c r="AH6" s="222"/>
      <c r="AI6" s="226"/>
      <c r="AJ6" s="226"/>
      <c r="AK6" s="342"/>
      <c r="AL6" s="212">
        <f t="shared" si="1"/>
        <v>0</v>
      </c>
      <c r="AM6" s="145">
        <f t="shared" si="2"/>
        <v>60</v>
      </c>
    </row>
    <row r="7" spans="1:39" ht="15.75" customHeight="1" x14ac:dyDescent="0.25">
      <c r="A7" s="24">
        <v>4</v>
      </c>
      <c r="B7" s="130" t="s">
        <v>6</v>
      </c>
      <c r="C7" s="25">
        <v>14</v>
      </c>
      <c r="D7" s="197">
        <v>60</v>
      </c>
      <c r="E7" s="4">
        <v>60</v>
      </c>
      <c r="F7" s="25">
        <f t="shared" si="0"/>
        <v>15</v>
      </c>
      <c r="G7" s="343"/>
      <c r="H7" s="437"/>
      <c r="I7" s="218"/>
      <c r="J7" s="217"/>
      <c r="K7" s="218"/>
      <c r="L7" s="216"/>
      <c r="M7" s="437"/>
      <c r="N7" s="295"/>
      <c r="O7" s="216"/>
      <c r="P7" s="393"/>
      <c r="Q7" s="220"/>
      <c r="R7" s="218"/>
      <c r="S7" s="218"/>
      <c r="T7" s="437"/>
      <c r="U7" s="216"/>
      <c r="V7" s="295"/>
      <c r="W7" s="216"/>
      <c r="X7" s="216"/>
      <c r="Y7" s="216"/>
      <c r="Z7" s="216"/>
      <c r="AA7" s="437"/>
      <c r="AB7" s="432"/>
      <c r="AC7" s="216"/>
      <c r="AD7" s="219"/>
      <c r="AE7" s="226"/>
      <c r="AF7" s="226"/>
      <c r="AG7" s="226"/>
      <c r="AH7" s="221"/>
      <c r="AI7" s="226"/>
      <c r="AJ7" s="226"/>
      <c r="AK7" s="342"/>
      <c r="AL7" s="212">
        <f t="shared" si="1"/>
        <v>0</v>
      </c>
      <c r="AM7" s="145">
        <f t="shared" si="2"/>
        <v>60</v>
      </c>
    </row>
    <row r="8" spans="1:39" ht="15.75" customHeight="1" x14ac:dyDescent="0.3">
      <c r="A8" s="24">
        <v>5</v>
      </c>
      <c r="B8" s="130" t="s">
        <v>7</v>
      </c>
      <c r="C8" s="25">
        <v>18</v>
      </c>
      <c r="D8" s="197">
        <v>60</v>
      </c>
      <c r="E8" s="4">
        <v>50</v>
      </c>
      <c r="F8" s="25">
        <f t="shared" si="0"/>
        <v>12.5</v>
      </c>
      <c r="G8" s="343"/>
      <c r="H8" s="437"/>
      <c r="I8" s="218"/>
      <c r="J8" s="217"/>
      <c r="K8" s="218"/>
      <c r="L8" s="216"/>
      <c r="M8" s="437"/>
      <c r="N8" s="295"/>
      <c r="O8" s="216"/>
      <c r="P8" s="393"/>
      <c r="Q8" s="220"/>
      <c r="R8" s="218"/>
      <c r="S8" s="218"/>
      <c r="T8" s="437"/>
      <c r="U8" s="216"/>
      <c r="V8" s="216"/>
      <c r="W8" s="216"/>
      <c r="X8" s="216"/>
      <c r="Y8" s="216"/>
      <c r="Z8" s="216"/>
      <c r="AA8" s="437"/>
      <c r="AB8" s="432"/>
      <c r="AC8" s="216"/>
      <c r="AD8" s="219"/>
      <c r="AE8" s="226"/>
      <c r="AF8" s="226"/>
      <c r="AG8" s="226"/>
      <c r="AH8" s="222"/>
      <c r="AI8" s="226"/>
      <c r="AJ8" s="226"/>
      <c r="AK8" s="342"/>
      <c r="AL8" s="212">
        <f t="shared" si="1"/>
        <v>0</v>
      </c>
      <c r="AM8" s="145">
        <f t="shared" si="2"/>
        <v>50</v>
      </c>
    </row>
    <row r="9" spans="1:39" ht="15.75" customHeight="1" x14ac:dyDescent="0.3">
      <c r="A9" s="24">
        <v>6</v>
      </c>
      <c r="B9" s="130" t="s">
        <v>8</v>
      </c>
      <c r="C9" s="25">
        <v>11</v>
      </c>
      <c r="D9" s="197">
        <v>50</v>
      </c>
      <c r="E9" s="4">
        <v>48</v>
      </c>
      <c r="F9" s="25">
        <f t="shared" si="0"/>
        <v>12</v>
      </c>
      <c r="G9" s="343"/>
      <c r="H9" s="437"/>
      <c r="I9" s="223"/>
      <c r="J9" s="216"/>
      <c r="K9" s="218"/>
      <c r="L9" s="216"/>
      <c r="M9" s="437"/>
      <c r="N9" s="216"/>
      <c r="O9" s="216"/>
      <c r="P9" s="299"/>
      <c r="Q9" s="220"/>
      <c r="R9" s="218"/>
      <c r="S9" s="218"/>
      <c r="T9" s="437"/>
      <c r="U9" s="216"/>
      <c r="V9" s="295"/>
      <c r="W9" s="216"/>
      <c r="X9" s="216"/>
      <c r="Y9" s="216"/>
      <c r="Z9" s="216"/>
      <c r="AA9" s="437"/>
      <c r="AB9" s="216"/>
      <c r="AC9" s="216"/>
      <c r="AD9" s="219"/>
      <c r="AE9" s="226"/>
      <c r="AF9" s="226"/>
      <c r="AG9" s="226"/>
      <c r="AH9" s="218"/>
      <c r="AI9" s="226"/>
      <c r="AJ9" s="226"/>
      <c r="AK9" s="342"/>
      <c r="AL9" s="212">
        <f t="shared" si="1"/>
        <v>0</v>
      </c>
      <c r="AM9" s="145">
        <f t="shared" si="2"/>
        <v>48</v>
      </c>
    </row>
    <row r="10" spans="1:39" ht="17.399999999999999" customHeight="1" x14ac:dyDescent="0.3">
      <c r="A10" s="24">
        <v>7</v>
      </c>
      <c r="B10" s="130" t="s">
        <v>9</v>
      </c>
      <c r="C10" s="25">
        <v>23</v>
      </c>
      <c r="D10" s="197">
        <v>90</v>
      </c>
      <c r="E10" s="4">
        <v>60</v>
      </c>
      <c r="F10" s="25">
        <f t="shared" si="0"/>
        <v>15</v>
      </c>
      <c r="G10" s="343"/>
      <c r="H10" s="437"/>
      <c r="I10" s="223"/>
      <c r="J10" s="216"/>
      <c r="K10" s="218"/>
      <c r="L10" s="216"/>
      <c r="M10" s="437"/>
      <c r="N10" s="216"/>
      <c r="O10" s="216"/>
      <c r="P10" s="299"/>
      <c r="Q10" s="220"/>
      <c r="R10" s="218"/>
      <c r="S10" s="218"/>
      <c r="T10" s="437"/>
      <c r="U10" s="216"/>
      <c r="V10" s="295"/>
      <c r="W10" s="216"/>
      <c r="X10" s="216"/>
      <c r="Y10" s="216"/>
      <c r="Z10" s="216"/>
      <c r="AA10" s="437"/>
      <c r="AB10" s="216"/>
      <c r="AC10" s="216">
        <v>5000</v>
      </c>
      <c r="AD10" s="219"/>
      <c r="AE10" s="226"/>
      <c r="AF10" s="226"/>
      <c r="AG10" s="226"/>
      <c r="AH10" s="218"/>
      <c r="AI10" s="226"/>
      <c r="AJ10" s="226"/>
      <c r="AK10" s="342"/>
      <c r="AL10" s="212">
        <f t="shared" si="1"/>
        <v>5000</v>
      </c>
      <c r="AM10" s="145">
        <f t="shared" si="2"/>
        <v>-4940</v>
      </c>
    </row>
    <row r="11" spans="1:39" ht="15.75" customHeight="1" x14ac:dyDescent="0.3">
      <c r="A11" s="24">
        <v>8</v>
      </c>
      <c r="B11" s="130" t="s">
        <v>10</v>
      </c>
      <c r="C11" s="25">
        <v>12</v>
      </c>
      <c r="D11" s="197">
        <v>50</v>
      </c>
      <c r="E11" s="4">
        <v>40</v>
      </c>
      <c r="F11" s="25">
        <f t="shared" si="0"/>
        <v>10</v>
      </c>
      <c r="G11" s="343"/>
      <c r="H11" s="437"/>
      <c r="I11" s="223"/>
      <c r="J11" s="216"/>
      <c r="K11" s="218"/>
      <c r="L11" s="216"/>
      <c r="M11" s="437"/>
      <c r="N11" s="216"/>
      <c r="O11" s="216"/>
      <c r="P11" s="299"/>
      <c r="Q11" s="216"/>
      <c r="R11" s="224"/>
      <c r="S11" s="218"/>
      <c r="T11" s="437"/>
      <c r="U11" s="216"/>
      <c r="V11" s="295"/>
      <c r="W11" s="216"/>
      <c r="X11" s="216"/>
      <c r="Y11" s="216"/>
      <c r="Z11" s="216"/>
      <c r="AA11" s="437"/>
      <c r="AB11" s="216"/>
      <c r="AC11" s="216"/>
      <c r="AD11" s="219"/>
      <c r="AE11" s="226"/>
      <c r="AF11" s="226"/>
      <c r="AG11" s="226"/>
      <c r="AH11" s="218"/>
      <c r="AI11" s="226"/>
      <c r="AJ11" s="226"/>
      <c r="AK11" s="342"/>
      <c r="AL11" s="212">
        <f t="shared" si="1"/>
        <v>0</v>
      </c>
      <c r="AM11" s="145">
        <f t="shared" si="2"/>
        <v>40</v>
      </c>
    </row>
    <row r="12" spans="1:39" ht="15.75" customHeight="1" x14ac:dyDescent="0.3">
      <c r="A12" s="24">
        <v>9</v>
      </c>
      <c r="B12" s="130" t="s">
        <v>11</v>
      </c>
      <c r="C12" s="25">
        <v>390</v>
      </c>
      <c r="D12" s="197">
        <v>300</v>
      </c>
      <c r="E12" s="4">
        <v>300</v>
      </c>
      <c r="F12" s="25">
        <f t="shared" si="0"/>
        <v>75</v>
      </c>
      <c r="G12" s="341"/>
      <c r="H12" s="437"/>
      <c r="I12" s="225"/>
      <c r="J12" s="216"/>
      <c r="K12" s="225"/>
      <c r="L12" s="216"/>
      <c r="M12" s="437"/>
      <c r="N12" s="216"/>
      <c r="O12" s="216"/>
      <c r="P12" s="393"/>
      <c r="Q12" s="216"/>
      <c r="R12" s="226"/>
      <c r="S12" s="218"/>
      <c r="T12" s="437"/>
      <c r="U12" s="216"/>
      <c r="V12" s="216"/>
      <c r="W12" s="216"/>
      <c r="X12" s="216"/>
      <c r="Y12" s="216"/>
      <c r="Z12" s="216"/>
      <c r="AA12" s="437"/>
      <c r="AB12" s="216"/>
      <c r="AC12" s="216"/>
      <c r="AD12" s="219"/>
      <c r="AE12" s="226"/>
      <c r="AF12" s="226"/>
      <c r="AG12" s="221"/>
      <c r="AH12" s="218"/>
      <c r="AI12" s="226"/>
      <c r="AJ12" s="226"/>
      <c r="AK12" s="342"/>
      <c r="AL12" s="212">
        <f t="shared" si="1"/>
        <v>0</v>
      </c>
      <c r="AM12" s="145">
        <f t="shared" si="2"/>
        <v>300</v>
      </c>
    </row>
    <row r="13" spans="1:39" ht="15.75" customHeight="1" x14ac:dyDescent="0.3">
      <c r="A13" s="24">
        <v>10</v>
      </c>
      <c r="B13" s="130" t="s">
        <v>12</v>
      </c>
      <c r="C13" s="25">
        <v>23</v>
      </c>
      <c r="D13" s="197">
        <v>90</v>
      </c>
      <c r="E13" s="4">
        <v>80</v>
      </c>
      <c r="F13" s="25">
        <f t="shared" si="0"/>
        <v>20</v>
      </c>
      <c r="G13" s="341"/>
      <c r="H13" s="437"/>
      <c r="I13" s="218"/>
      <c r="J13" s="295"/>
      <c r="K13" s="223"/>
      <c r="L13" s="216"/>
      <c r="M13" s="437"/>
      <c r="N13" s="216"/>
      <c r="O13" s="216"/>
      <c r="P13" s="299"/>
      <c r="Q13" s="216"/>
      <c r="R13" s="218"/>
      <c r="S13" s="218"/>
      <c r="T13" s="437"/>
      <c r="U13" s="216"/>
      <c r="V13" s="216"/>
      <c r="W13" s="216"/>
      <c r="X13" s="216"/>
      <c r="Y13" s="216"/>
      <c r="Z13" s="216"/>
      <c r="AA13" s="437"/>
      <c r="AB13" s="216"/>
      <c r="AC13" s="216"/>
      <c r="AD13" s="219"/>
      <c r="AE13" s="226"/>
      <c r="AF13" s="226"/>
      <c r="AG13" s="221"/>
      <c r="AH13" s="218"/>
      <c r="AI13" s="226"/>
      <c r="AJ13" s="226"/>
      <c r="AK13" s="342"/>
      <c r="AL13" s="212">
        <f t="shared" si="1"/>
        <v>0</v>
      </c>
      <c r="AM13" s="145">
        <f t="shared" si="2"/>
        <v>80</v>
      </c>
    </row>
    <row r="14" spans="1:39" ht="15.75" customHeight="1" x14ac:dyDescent="0.25">
      <c r="A14" s="24">
        <v>11</v>
      </c>
      <c r="B14" s="130" t="s">
        <v>13</v>
      </c>
      <c r="C14" s="25">
        <v>11</v>
      </c>
      <c r="D14" s="197">
        <v>30</v>
      </c>
      <c r="E14" s="4">
        <v>32</v>
      </c>
      <c r="F14" s="25">
        <f t="shared" si="0"/>
        <v>8</v>
      </c>
      <c r="G14" s="341"/>
      <c r="H14" s="437"/>
      <c r="I14" s="218"/>
      <c r="J14" s="295"/>
      <c r="K14" s="218"/>
      <c r="L14" s="216"/>
      <c r="M14" s="437"/>
      <c r="N14" s="216"/>
      <c r="O14" s="216"/>
      <c r="P14" s="393"/>
      <c r="Q14" s="216"/>
      <c r="R14" s="218"/>
      <c r="S14" s="218"/>
      <c r="T14" s="437"/>
      <c r="U14" s="216"/>
      <c r="V14" s="216"/>
      <c r="W14" s="216"/>
      <c r="X14" s="216"/>
      <c r="Y14" s="216"/>
      <c r="Z14" s="295"/>
      <c r="AA14" s="437"/>
      <c r="AB14" s="216"/>
      <c r="AC14" s="216"/>
      <c r="AD14" s="219"/>
      <c r="AE14" s="226"/>
      <c r="AF14" s="226"/>
      <c r="AG14" s="221"/>
      <c r="AH14" s="218"/>
      <c r="AI14" s="226"/>
      <c r="AJ14" s="226"/>
      <c r="AK14" s="342"/>
      <c r="AL14" s="212">
        <f t="shared" si="1"/>
        <v>0</v>
      </c>
      <c r="AM14" s="145">
        <f t="shared" si="2"/>
        <v>32</v>
      </c>
    </row>
    <row r="15" spans="1:39" ht="15.75" customHeight="1" x14ac:dyDescent="0.25">
      <c r="A15" s="24">
        <v>12</v>
      </c>
      <c r="B15" s="130" t="s">
        <v>14</v>
      </c>
      <c r="C15" s="25">
        <v>18</v>
      </c>
      <c r="D15" s="197">
        <v>2</v>
      </c>
      <c r="E15" s="4">
        <v>40</v>
      </c>
      <c r="F15" s="25">
        <f t="shared" si="0"/>
        <v>10</v>
      </c>
      <c r="G15" s="341"/>
      <c r="H15" s="437"/>
      <c r="I15" s="218"/>
      <c r="J15" s="295"/>
      <c r="K15" s="218"/>
      <c r="L15" s="217"/>
      <c r="M15" s="437"/>
      <c r="N15" s="216"/>
      <c r="O15" s="216"/>
      <c r="P15" s="393"/>
      <c r="Q15" s="216"/>
      <c r="R15" s="218"/>
      <c r="S15" s="218"/>
      <c r="T15" s="437"/>
      <c r="U15" s="216"/>
      <c r="V15" s="216"/>
      <c r="W15" s="216"/>
      <c r="X15" s="295"/>
      <c r="Y15" s="216"/>
      <c r="Z15" s="216"/>
      <c r="AA15" s="437"/>
      <c r="AB15" s="216"/>
      <c r="AC15" s="216"/>
      <c r="AD15" s="219"/>
      <c r="AE15" s="226"/>
      <c r="AF15" s="226"/>
      <c r="AG15" s="221"/>
      <c r="AH15" s="218"/>
      <c r="AI15" s="226"/>
      <c r="AJ15" s="226"/>
      <c r="AK15" s="342"/>
      <c r="AL15" s="212">
        <f t="shared" si="1"/>
        <v>0</v>
      </c>
      <c r="AM15" s="145">
        <f t="shared" si="2"/>
        <v>40</v>
      </c>
    </row>
    <row r="16" spans="1:39" ht="15.75" customHeight="1" x14ac:dyDescent="0.25">
      <c r="A16" s="24">
        <v>13</v>
      </c>
      <c r="B16" s="130" t="s">
        <v>15</v>
      </c>
      <c r="C16" s="25">
        <v>14</v>
      </c>
      <c r="D16" s="197">
        <v>50</v>
      </c>
      <c r="E16" s="4">
        <v>40</v>
      </c>
      <c r="F16" s="25">
        <f t="shared" si="0"/>
        <v>10</v>
      </c>
      <c r="G16" s="341"/>
      <c r="H16" s="437"/>
      <c r="I16" s="218"/>
      <c r="J16" s="295"/>
      <c r="K16" s="218"/>
      <c r="L16" s="216"/>
      <c r="M16" s="437"/>
      <c r="N16" s="216"/>
      <c r="O16" s="216"/>
      <c r="P16" s="393"/>
      <c r="Q16" s="295"/>
      <c r="R16" s="218"/>
      <c r="S16" s="218"/>
      <c r="T16" s="437"/>
      <c r="U16" s="216"/>
      <c r="V16" s="216"/>
      <c r="W16" s="216"/>
      <c r="X16" s="216"/>
      <c r="Y16" s="216"/>
      <c r="Z16" s="295"/>
      <c r="AA16" s="437"/>
      <c r="AB16" s="216"/>
      <c r="AC16" s="216"/>
      <c r="AD16" s="219"/>
      <c r="AE16" s="226"/>
      <c r="AF16" s="226"/>
      <c r="AG16" s="221"/>
      <c r="AH16" s="218"/>
      <c r="AI16" s="226"/>
      <c r="AJ16" s="226"/>
      <c r="AK16" s="342"/>
      <c r="AL16" s="212">
        <f t="shared" si="1"/>
        <v>0</v>
      </c>
      <c r="AM16" s="145">
        <f t="shared" si="2"/>
        <v>40</v>
      </c>
    </row>
    <row r="17" spans="1:39" ht="15.75" customHeight="1" x14ac:dyDescent="0.3">
      <c r="A17" s="24">
        <v>14</v>
      </c>
      <c r="B17" s="130" t="s">
        <v>16</v>
      </c>
      <c r="C17" s="25">
        <v>54</v>
      </c>
      <c r="D17" s="197">
        <v>200</v>
      </c>
      <c r="E17" s="4">
        <v>250</v>
      </c>
      <c r="F17" s="25">
        <f t="shared" si="0"/>
        <v>62.5</v>
      </c>
      <c r="G17" s="341"/>
      <c r="H17" s="437"/>
      <c r="I17" s="218"/>
      <c r="J17" s="216"/>
      <c r="K17" s="300"/>
      <c r="L17" s="216"/>
      <c r="M17" s="437"/>
      <c r="N17" s="216"/>
      <c r="O17" s="216"/>
      <c r="P17" s="393"/>
      <c r="Q17" s="295"/>
      <c r="R17" s="218"/>
      <c r="S17" s="218"/>
      <c r="T17" s="437"/>
      <c r="U17" s="216"/>
      <c r="V17" s="216"/>
      <c r="W17" s="295"/>
      <c r="X17" s="216"/>
      <c r="Y17" s="216"/>
      <c r="Z17" s="216"/>
      <c r="AA17" s="437"/>
      <c r="AB17" s="216"/>
      <c r="AC17" s="216"/>
      <c r="AD17" s="219"/>
      <c r="AE17" s="226"/>
      <c r="AF17" s="226"/>
      <c r="AG17" s="226"/>
      <c r="AH17" s="218"/>
      <c r="AI17" s="226"/>
      <c r="AJ17" s="226"/>
      <c r="AK17" s="342"/>
      <c r="AL17" s="212">
        <f t="shared" si="1"/>
        <v>0</v>
      </c>
      <c r="AM17" s="145">
        <f t="shared" si="2"/>
        <v>250</v>
      </c>
    </row>
    <row r="18" spans="1:39" ht="15.75" customHeight="1" x14ac:dyDescent="0.3">
      <c r="A18" s="24">
        <v>15</v>
      </c>
      <c r="B18" s="130" t="s">
        <v>17</v>
      </c>
      <c r="C18" s="25">
        <v>8</v>
      </c>
      <c r="D18" s="197">
        <v>50</v>
      </c>
      <c r="E18" s="4">
        <v>45</v>
      </c>
      <c r="F18" s="25">
        <f t="shared" si="0"/>
        <v>11.25</v>
      </c>
      <c r="G18" s="344"/>
      <c r="H18" s="437"/>
      <c r="I18" s="218"/>
      <c r="J18" s="216"/>
      <c r="K18" s="300"/>
      <c r="L18" s="216"/>
      <c r="M18" s="437"/>
      <c r="N18" s="216"/>
      <c r="O18" s="216"/>
      <c r="P18" s="393"/>
      <c r="Q18" s="216"/>
      <c r="R18" s="218"/>
      <c r="S18" s="218"/>
      <c r="T18" s="437"/>
      <c r="U18" s="295"/>
      <c r="V18" s="216"/>
      <c r="W18" s="216"/>
      <c r="X18" s="216"/>
      <c r="Y18" s="216"/>
      <c r="Z18" s="295"/>
      <c r="AA18" s="437"/>
      <c r="AB18" s="216"/>
      <c r="AC18" s="216"/>
      <c r="AD18" s="219"/>
      <c r="AE18" s="226"/>
      <c r="AF18" s="226"/>
      <c r="AG18" s="226"/>
      <c r="AH18" s="218"/>
      <c r="AI18" s="226"/>
      <c r="AJ18" s="226"/>
      <c r="AK18" s="342"/>
      <c r="AL18" s="212">
        <f t="shared" si="1"/>
        <v>0</v>
      </c>
      <c r="AM18" s="145">
        <f t="shared" si="2"/>
        <v>45</v>
      </c>
    </row>
    <row r="19" spans="1:39" ht="15.75" customHeight="1" x14ac:dyDescent="0.3">
      <c r="A19" s="24">
        <v>16</v>
      </c>
      <c r="B19" s="130" t="s">
        <v>18</v>
      </c>
      <c r="C19" s="25">
        <v>15</v>
      </c>
      <c r="D19" s="197">
        <v>30</v>
      </c>
      <c r="E19" s="4">
        <v>45</v>
      </c>
      <c r="F19" s="25">
        <f t="shared" si="0"/>
        <v>11.25</v>
      </c>
      <c r="G19" s="344"/>
      <c r="H19" s="437"/>
      <c r="I19" s="218"/>
      <c r="J19" s="216"/>
      <c r="K19" s="300"/>
      <c r="L19" s="217"/>
      <c r="M19" s="437"/>
      <c r="N19" s="216"/>
      <c r="O19" s="216"/>
      <c r="P19" s="393"/>
      <c r="Q19" s="216"/>
      <c r="R19" s="218"/>
      <c r="S19" s="411"/>
      <c r="T19" s="437"/>
      <c r="U19" s="216"/>
      <c r="V19" s="216"/>
      <c r="W19" s="216"/>
      <c r="X19" s="216"/>
      <c r="Y19" s="216"/>
      <c r="Z19" s="295"/>
      <c r="AA19" s="437"/>
      <c r="AB19" s="216"/>
      <c r="AC19" s="216"/>
      <c r="AD19" s="219"/>
      <c r="AE19" s="226"/>
      <c r="AF19" s="226"/>
      <c r="AG19" s="226"/>
      <c r="AH19" s="218"/>
      <c r="AI19" s="226"/>
      <c r="AJ19" s="226"/>
      <c r="AK19" s="342"/>
      <c r="AL19" s="212">
        <f t="shared" si="1"/>
        <v>0</v>
      </c>
      <c r="AM19" s="145">
        <f t="shared" si="2"/>
        <v>45</v>
      </c>
    </row>
    <row r="20" spans="1:39" ht="15.75" customHeight="1" x14ac:dyDescent="0.3">
      <c r="A20" s="24">
        <v>17</v>
      </c>
      <c r="B20" s="130" t="s">
        <v>19</v>
      </c>
      <c r="C20" s="25">
        <v>23</v>
      </c>
      <c r="D20" s="197">
        <v>90</v>
      </c>
      <c r="E20" s="4">
        <v>80</v>
      </c>
      <c r="F20" s="25">
        <f t="shared" si="0"/>
        <v>20</v>
      </c>
      <c r="G20" s="344"/>
      <c r="H20" s="437"/>
      <c r="I20" s="218"/>
      <c r="J20" s="216"/>
      <c r="K20" s="300"/>
      <c r="L20" s="217"/>
      <c r="M20" s="437"/>
      <c r="N20" s="216"/>
      <c r="O20" s="216"/>
      <c r="P20" s="393"/>
      <c r="Q20" s="216"/>
      <c r="R20" s="218"/>
      <c r="S20" s="411"/>
      <c r="T20" s="437"/>
      <c r="U20" s="216"/>
      <c r="V20" s="216"/>
      <c r="W20" s="216"/>
      <c r="X20" s="216"/>
      <c r="Y20" s="216"/>
      <c r="Z20" s="295"/>
      <c r="AA20" s="437"/>
      <c r="AB20" s="216"/>
      <c r="AC20" s="216"/>
      <c r="AD20" s="219"/>
      <c r="AE20" s="226"/>
      <c r="AF20" s="226"/>
      <c r="AG20" s="226"/>
      <c r="AH20" s="218"/>
      <c r="AI20" s="226"/>
      <c r="AJ20" s="226"/>
      <c r="AK20" s="342"/>
      <c r="AL20" s="212">
        <f t="shared" si="1"/>
        <v>0</v>
      </c>
      <c r="AM20" s="145">
        <f t="shared" si="2"/>
        <v>80</v>
      </c>
    </row>
    <row r="21" spans="1:39" ht="15.75" customHeight="1" x14ac:dyDescent="0.3">
      <c r="A21" s="24">
        <v>18</v>
      </c>
      <c r="B21" s="130" t="s">
        <v>20</v>
      </c>
      <c r="C21" s="25">
        <v>16</v>
      </c>
      <c r="D21" s="197">
        <v>10</v>
      </c>
      <c r="E21" s="4">
        <v>97</v>
      </c>
      <c r="F21" s="25">
        <f t="shared" si="0"/>
        <v>24.25</v>
      </c>
      <c r="G21" s="341"/>
      <c r="H21" s="437"/>
      <c r="I21" s="218"/>
      <c r="J21" s="216"/>
      <c r="K21" s="218"/>
      <c r="L21" s="295"/>
      <c r="M21" s="437"/>
      <c r="N21" s="217"/>
      <c r="O21" s="216"/>
      <c r="P21" s="393"/>
      <c r="Q21" s="216"/>
      <c r="R21" s="218"/>
      <c r="S21" s="358"/>
      <c r="T21" s="437"/>
      <c r="U21" s="216"/>
      <c r="V21" s="216"/>
      <c r="W21" s="216"/>
      <c r="Y21" s="295"/>
      <c r="Z21" s="216"/>
      <c r="AA21" s="437"/>
      <c r="AB21" s="216"/>
      <c r="AC21" s="216"/>
      <c r="AD21" s="219"/>
      <c r="AE21" s="226"/>
      <c r="AF21" s="226"/>
      <c r="AG21" s="226"/>
      <c r="AH21" s="225"/>
      <c r="AI21" s="226"/>
      <c r="AJ21" s="226"/>
      <c r="AK21" s="342"/>
      <c r="AL21" s="212">
        <f t="shared" si="1"/>
        <v>0</v>
      </c>
      <c r="AM21" s="145">
        <f t="shared" si="2"/>
        <v>97</v>
      </c>
    </row>
    <row r="22" spans="1:39" ht="15.75" customHeight="1" x14ac:dyDescent="0.3">
      <c r="A22" s="24">
        <v>19</v>
      </c>
      <c r="B22" s="130" t="s">
        <v>22</v>
      </c>
      <c r="C22" s="25">
        <v>10</v>
      </c>
      <c r="D22" s="197">
        <v>5</v>
      </c>
      <c r="E22" s="4">
        <v>8</v>
      </c>
      <c r="F22" s="25">
        <f t="shared" si="0"/>
        <v>2</v>
      </c>
      <c r="G22" s="341"/>
      <c r="H22" s="437"/>
      <c r="I22" s="218"/>
      <c r="J22" s="216"/>
      <c r="K22" s="218"/>
      <c r="L22" s="295"/>
      <c r="M22" s="437"/>
      <c r="N22" s="217"/>
      <c r="O22" s="216"/>
      <c r="P22" s="393"/>
      <c r="Q22" s="216"/>
      <c r="R22" s="218"/>
      <c r="S22" s="223"/>
      <c r="T22" s="437"/>
      <c r="U22" s="216"/>
      <c r="V22" s="216"/>
      <c r="W22" s="216"/>
      <c r="X22" s="216"/>
      <c r="Y22" s="295"/>
      <c r="Z22" s="216"/>
      <c r="AA22" s="437"/>
      <c r="AB22" s="216"/>
      <c r="AC22" s="216"/>
      <c r="AD22" s="219"/>
      <c r="AE22" s="226"/>
      <c r="AF22" s="226"/>
      <c r="AG22" s="226"/>
      <c r="AH22" s="225"/>
      <c r="AI22" s="226"/>
      <c r="AJ22" s="226"/>
      <c r="AK22" s="342"/>
      <c r="AL22" s="212">
        <f t="shared" si="1"/>
        <v>0</v>
      </c>
      <c r="AM22" s="145">
        <f t="shared" si="2"/>
        <v>8</v>
      </c>
    </row>
    <row r="23" spans="1:39" ht="15" customHeight="1" thickBot="1" x14ac:dyDescent="0.35">
      <c r="A23" s="231">
        <v>20</v>
      </c>
      <c r="B23" s="232" t="s">
        <v>23</v>
      </c>
      <c r="C23" s="233">
        <v>17</v>
      </c>
      <c r="D23" s="234">
        <v>20</v>
      </c>
      <c r="E23" s="235">
        <v>8</v>
      </c>
      <c r="F23" s="326">
        <f t="shared" si="0"/>
        <v>2</v>
      </c>
      <c r="G23" s="345"/>
      <c r="H23" s="438"/>
      <c r="I23" s="238"/>
      <c r="J23" s="236"/>
      <c r="K23" s="238"/>
      <c r="L23" s="361"/>
      <c r="M23" s="438"/>
      <c r="N23" s="237"/>
      <c r="O23" s="236"/>
      <c r="P23" s="394"/>
      <c r="Q23" s="236"/>
      <c r="R23" s="238"/>
      <c r="S23" s="240"/>
      <c r="T23" s="438"/>
      <c r="U23" s="236"/>
      <c r="V23" s="236"/>
      <c r="W23" s="236"/>
      <c r="X23" s="236"/>
      <c r="Y23" s="236"/>
      <c r="Z23" s="236"/>
      <c r="AA23" s="438"/>
      <c r="AB23" s="236"/>
      <c r="AC23" s="236"/>
      <c r="AD23" s="239"/>
      <c r="AE23" s="241"/>
      <c r="AF23" s="241"/>
      <c r="AG23" s="241"/>
      <c r="AH23" s="242"/>
      <c r="AI23" s="241"/>
      <c r="AJ23" s="241"/>
      <c r="AK23" s="346"/>
      <c r="AL23" s="243">
        <f t="shared" si="1"/>
        <v>0</v>
      </c>
      <c r="AM23" s="244">
        <f t="shared" si="2"/>
        <v>8</v>
      </c>
    </row>
    <row r="24" spans="1:39" ht="15.75" customHeight="1" x14ac:dyDescent="0.25">
      <c r="A24" s="227">
        <v>21</v>
      </c>
      <c r="B24" s="228" t="s">
        <v>24</v>
      </c>
      <c r="C24" s="229">
        <v>880</v>
      </c>
      <c r="D24" s="288">
        <v>500</v>
      </c>
      <c r="E24" s="285">
        <v>300</v>
      </c>
      <c r="F24" s="327">
        <f t="shared" si="0"/>
        <v>75</v>
      </c>
      <c r="G24" s="347"/>
      <c r="H24" s="245"/>
      <c r="I24" s="259"/>
      <c r="J24" s="245"/>
      <c r="K24" s="245"/>
      <c r="L24" s="245"/>
      <c r="M24" s="441"/>
      <c r="N24" s="245"/>
      <c r="O24" s="245"/>
      <c r="P24" s="395"/>
      <c r="Q24" s="245"/>
      <c r="R24" s="260"/>
      <c r="S24" s="245"/>
      <c r="T24" s="441"/>
      <c r="U24" s="245"/>
      <c r="V24" s="245"/>
      <c r="W24" s="245"/>
      <c r="X24" s="245"/>
      <c r="Y24" s="260"/>
      <c r="Z24" s="245"/>
      <c r="AA24" s="441"/>
      <c r="AB24" s="245"/>
      <c r="AC24" s="245"/>
      <c r="AD24" s="259"/>
      <c r="AE24" s="245"/>
      <c r="AF24" s="260"/>
      <c r="AG24" s="245"/>
      <c r="AH24" s="245"/>
      <c r="AI24" s="245"/>
      <c r="AJ24" s="245"/>
      <c r="AK24" s="348"/>
      <c r="AL24" s="251">
        <f t="shared" si="1"/>
        <v>0</v>
      </c>
      <c r="AM24" s="230">
        <f t="shared" si="2"/>
        <v>300</v>
      </c>
    </row>
    <row r="25" spans="1:39" ht="15.75" customHeight="1" x14ac:dyDescent="0.25">
      <c r="A25" s="28">
        <v>22</v>
      </c>
      <c r="B25" s="7" t="s">
        <v>25</v>
      </c>
      <c r="C25" s="25">
        <v>14</v>
      </c>
      <c r="D25" s="289">
        <v>150</v>
      </c>
      <c r="E25" s="286">
        <v>80</v>
      </c>
      <c r="F25" s="328">
        <f t="shared" si="0"/>
        <v>20</v>
      </c>
      <c r="G25" s="343"/>
      <c r="H25" s="217"/>
      <c r="I25" s="219"/>
      <c r="J25" s="216"/>
      <c r="K25" s="218"/>
      <c r="L25" s="295"/>
      <c r="M25" s="437"/>
      <c r="N25" s="216"/>
      <c r="O25" s="217"/>
      <c r="P25" s="393"/>
      <c r="Q25" s="216"/>
      <c r="R25" s="218"/>
      <c r="S25" s="216"/>
      <c r="T25" s="437"/>
      <c r="U25" s="295"/>
      <c r="V25" s="216"/>
      <c r="W25" s="216"/>
      <c r="X25" s="216"/>
      <c r="Y25" s="218"/>
      <c r="Z25" s="295"/>
      <c r="AA25" s="437"/>
      <c r="AB25" s="216"/>
      <c r="AC25" s="216"/>
      <c r="AD25" s="219"/>
      <c r="AE25" s="216"/>
      <c r="AF25" s="218"/>
      <c r="AG25" s="216"/>
      <c r="AH25" s="216"/>
      <c r="AI25" s="216"/>
      <c r="AJ25" s="216"/>
      <c r="AK25" s="342"/>
      <c r="AL25" s="212">
        <f t="shared" si="1"/>
        <v>0</v>
      </c>
      <c r="AM25" s="145">
        <f t="shared" si="2"/>
        <v>80</v>
      </c>
    </row>
    <row r="26" spans="1:39" ht="15.75" customHeight="1" x14ac:dyDescent="0.25">
      <c r="A26" s="28">
        <v>23</v>
      </c>
      <c r="B26" s="7" t="s">
        <v>26</v>
      </c>
      <c r="C26" s="25">
        <v>8</v>
      </c>
      <c r="D26" s="289">
        <v>5</v>
      </c>
      <c r="E26" s="286">
        <v>4</v>
      </c>
      <c r="F26" s="328">
        <f t="shared" si="0"/>
        <v>1</v>
      </c>
      <c r="G26" s="341"/>
      <c r="H26" s="216"/>
      <c r="I26" s="219"/>
      <c r="J26" s="216"/>
      <c r="K26" s="218"/>
      <c r="L26" s="216"/>
      <c r="M26" s="437"/>
      <c r="N26" s="216"/>
      <c r="O26" s="216"/>
      <c r="P26" s="393"/>
      <c r="Q26" s="216"/>
      <c r="R26" s="218"/>
      <c r="S26" s="216"/>
      <c r="T26" s="437"/>
      <c r="U26" s="216"/>
      <c r="V26" s="216"/>
      <c r="W26" s="216"/>
      <c r="X26" s="252"/>
      <c r="Y26" s="218"/>
      <c r="Z26" s="216"/>
      <c r="AA26" s="437"/>
      <c r="AB26" s="216"/>
      <c r="AC26" s="216"/>
      <c r="AD26" s="219"/>
      <c r="AE26" s="216"/>
      <c r="AF26" s="218"/>
      <c r="AG26" s="216"/>
      <c r="AH26" s="216"/>
      <c r="AI26" s="216"/>
      <c r="AJ26" s="216"/>
      <c r="AK26" s="342"/>
      <c r="AL26" s="212">
        <f t="shared" si="1"/>
        <v>0</v>
      </c>
      <c r="AM26" s="145">
        <f t="shared" si="2"/>
        <v>4</v>
      </c>
    </row>
    <row r="27" spans="1:39" ht="15.75" customHeight="1" x14ac:dyDescent="0.3">
      <c r="A27" s="28">
        <v>24</v>
      </c>
      <c r="B27" s="7" t="s">
        <v>27</v>
      </c>
      <c r="C27" s="25">
        <v>10</v>
      </c>
      <c r="D27" s="289">
        <v>5</v>
      </c>
      <c r="E27" s="286">
        <v>4</v>
      </c>
      <c r="F27" s="329">
        <f t="shared" si="0"/>
        <v>1</v>
      </c>
      <c r="G27" s="341"/>
      <c r="H27" s="217"/>
      <c r="I27" s="219"/>
      <c r="J27" s="216"/>
      <c r="K27" s="218"/>
      <c r="L27" s="216"/>
      <c r="M27" s="437"/>
      <c r="N27" s="216"/>
      <c r="O27" s="216"/>
      <c r="P27" s="299"/>
      <c r="Q27" s="216"/>
      <c r="R27" s="218"/>
      <c r="S27" s="216"/>
      <c r="T27" s="437"/>
      <c r="U27" s="216"/>
      <c r="V27" s="216"/>
      <c r="W27" s="216"/>
      <c r="X27" s="252"/>
      <c r="Y27" s="218"/>
      <c r="Z27" s="216"/>
      <c r="AA27" s="437"/>
      <c r="AB27" s="216"/>
      <c r="AC27" s="216"/>
      <c r="AD27" s="219"/>
      <c r="AE27" s="216"/>
      <c r="AF27" s="225"/>
      <c r="AG27" s="216"/>
      <c r="AH27" s="216"/>
      <c r="AI27" s="216"/>
      <c r="AJ27" s="216"/>
      <c r="AK27" s="342"/>
      <c r="AL27" s="212">
        <f t="shared" si="1"/>
        <v>0</v>
      </c>
      <c r="AM27" s="145">
        <f t="shared" si="2"/>
        <v>4</v>
      </c>
    </row>
    <row r="28" spans="1:39" ht="15.75" customHeight="1" x14ac:dyDescent="0.3">
      <c r="A28" s="28">
        <v>25</v>
      </c>
      <c r="B28" s="7" t="s">
        <v>28</v>
      </c>
      <c r="C28" s="25">
        <v>4</v>
      </c>
      <c r="D28" s="289">
        <v>20</v>
      </c>
      <c r="E28" s="286">
        <v>4</v>
      </c>
      <c r="F28" s="330">
        <f t="shared" si="0"/>
        <v>1</v>
      </c>
      <c r="G28" s="341"/>
      <c r="H28" s="217"/>
      <c r="I28" s="219"/>
      <c r="J28" s="216"/>
      <c r="K28" s="218"/>
      <c r="L28" s="216"/>
      <c r="M28" s="437"/>
      <c r="N28" s="216"/>
      <c r="O28" s="216"/>
      <c r="P28" s="299"/>
      <c r="Q28" s="216"/>
      <c r="R28" s="218"/>
      <c r="S28" s="216"/>
      <c r="T28" s="437"/>
      <c r="U28" s="216"/>
      <c r="V28" s="216"/>
      <c r="W28" s="216"/>
      <c r="X28" s="216"/>
      <c r="Y28" s="218"/>
      <c r="Z28" s="216"/>
      <c r="AA28" s="437"/>
      <c r="AB28" s="216"/>
      <c r="AC28" s="216"/>
      <c r="AD28" s="219"/>
      <c r="AE28" s="216"/>
      <c r="AF28" s="225"/>
      <c r="AG28" s="216"/>
      <c r="AH28" s="216"/>
      <c r="AI28" s="216"/>
      <c r="AJ28" s="216"/>
      <c r="AK28" s="342"/>
      <c r="AL28" s="212">
        <f t="shared" si="1"/>
        <v>0</v>
      </c>
      <c r="AM28" s="145">
        <f t="shared" si="2"/>
        <v>4</v>
      </c>
    </row>
    <row r="29" spans="1:39" ht="15.75" customHeight="1" x14ac:dyDescent="0.25">
      <c r="A29" s="28">
        <v>26</v>
      </c>
      <c r="B29" s="8" t="s">
        <v>29</v>
      </c>
      <c r="C29" s="25"/>
      <c r="D29" s="289"/>
      <c r="E29" s="292">
        <v>57</v>
      </c>
      <c r="F29" s="330">
        <f t="shared" si="0"/>
        <v>14.25</v>
      </c>
      <c r="G29" s="341"/>
      <c r="H29" s="216"/>
      <c r="I29" s="219"/>
      <c r="J29" s="216"/>
      <c r="K29" s="218"/>
      <c r="L29" s="216"/>
      <c r="M29" s="437"/>
      <c r="N29" s="216"/>
      <c r="O29" s="216"/>
      <c r="P29" s="393"/>
      <c r="Q29" s="216"/>
      <c r="R29" s="218"/>
      <c r="S29" s="216"/>
      <c r="T29" s="437"/>
      <c r="U29" s="216"/>
      <c r="V29" s="216"/>
      <c r="W29" s="216"/>
      <c r="X29" s="216"/>
      <c r="Y29" s="218"/>
      <c r="Z29" s="216"/>
      <c r="AA29" s="437"/>
      <c r="AB29" s="216"/>
      <c r="AC29" s="216"/>
      <c r="AD29" s="219"/>
      <c r="AE29" s="216"/>
      <c r="AF29" s="218"/>
      <c r="AG29" s="216"/>
      <c r="AH29" s="216"/>
      <c r="AI29" s="216"/>
      <c r="AJ29" s="216"/>
      <c r="AK29" s="342"/>
      <c r="AL29" s="212">
        <f t="shared" si="1"/>
        <v>0</v>
      </c>
      <c r="AM29" s="145">
        <f t="shared" si="2"/>
        <v>57</v>
      </c>
    </row>
    <row r="30" spans="1:39" ht="15.75" customHeight="1" x14ac:dyDescent="0.25">
      <c r="A30" s="28">
        <v>27</v>
      </c>
      <c r="B30" s="7" t="s">
        <v>30</v>
      </c>
      <c r="C30" s="25">
        <v>45</v>
      </c>
      <c r="D30" s="289">
        <v>80</v>
      </c>
      <c r="E30" s="286">
        <v>120</v>
      </c>
      <c r="F30" s="330">
        <f t="shared" si="0"/>
        <v>30</v>
      </c>
      <c r="G30" s="343"/>
      <c r="H30" s="217"/>
      <c r="I30" s="219"/>
      <c r="J30" s="216"/>
      <c r="K30" s="218"/>
      <c r="L30" s="295"/>
      <c r="M30" s="437"/>
      <c r="N30" s="216"/>
      <c r="O30" s="253"/>
      <c r="P30" s="393"/>
      <c r="Q30" s="216"/>
      <c r="R30" s="218"/>
      <c r="S30" s="216"/>
      <c r="T30" s="437"/>
      <c r="U30" s="216"/>
      <c r="V30" s="216"/>
      <c r="W30" s="216"/>
      <c r="X30" s="295"/>
      <c r="Y30" s="218"/>
      <c r="Z30" s="216"/>
      <c r="AA30" s="437"/>
      <c r="AB30" s="216"/>
      <c r="AC30" s="216"/>
      <c r="AD30" s="219"/>
      <c r="AE30" s="216"/>
      <c r="AF30" s="218"/>
      <c r="AG30" s="216"/>
      <c r="AH30" s="216"/>
      <c r="AI30" s="216"/>
      <c r="AJ30" s="216"/>
      <c r="AK30" s="342"/>
      <c r="AL30" s="212">
        <f t="shared" si="1"/>
        <v>0</v>
      </c>
      <c r="AM30" s="145">
        <f t="shared" si="2"/>
        <v>120</v>
      </c>
    </row>
    <row r="31" spans="1:39" ht="15.75" customHeight="1" x14ac:dyDescent="0.3">
      <c r="A31" s="28">
        <v>28</v>
      </c>
      <c r="B31" s="7" t="s">
        <v>31</v>
      </c>
      <c r="C31" s="25">
        <v>109</v>
      </c>
      <c r="D31" s="289">
        <v>400</v>
      </c>
      <c r="E31" s="286">
        <v>120</v>
      </c>
      <c r="F31" s="330">
        <f t="shared" si="0"/>
        <v>30</v>
      </c>
      <c r="G31" s="341"/>
      <c r="H31" s="216"/>
      <c r="I31" s="296"/>
      <c r="J31" s="216"/>
      <c r="K31" s="218"/>
      <c r="L31" s="216"/>
      <c r="M31" s="437"/>
      <c r="N31" s="216"/>
      <c r="O31" s="217"/>
      <c r="P31" s="393"/>
      <c r="Q31" s="216"/>
      <c r="R31" s="218"/>
      <c r="S31" s="216"/>
      <c r="T31" s="437"/>
      <c r="U31" s="216"/>
      <c r="V31" s="216"/>
      <c r="W31" s="216"/>
      <c r="X31" s="216"/>
      <c r="Y31" s="218"/>
      <c r="Z31" s="216"/>
      <c r="AA31" s="437"/>
      <c r="AB31" s="216"/>
      <c r="AC31" s="216"/>
      <c r="AD31" s="219"/>
      <c r="AE31" s="216"/>
      <c r="AF31" s="225"/>
      <c r="AG31" s="216"/>
      <c r="AH31" s="216"/>
      <c r="AI31" s="216"/>
      <c r="AJ31" s="216"/>
      <c r="AK31" s="342"/>
      <c r="AL31" s="212">
        <f t="shared" si="1"/>
        <v>0</v>
      </c>
      <c r="AM31" s="145">
        <f t="shared" si="2"/>
        <v>120</v>
      </c>
    </row>
    <row r="32" spans="1:39" ht="15.75" customHeight="1" x14ac:dyDescent="0.3">
      <c r="A32" s="28">
        <v>29</v>
      </c>
      <c r="B32" s="7" t="s">
        <v>32</v>
      </c>
      <c r="C32" s="25">
        <v>12</v>
      </c>
      <c r="D32" s="289">
        <v>30</v>
      </c>
      <c r="E32" s="286">
        <v>28</v>
      </c>
      <c r="F32" s="331">
        <f t="shared" si="0"/>
        <v>7</v>
      </c>
      <c r="G32" s="341"/>
      <c r="H32" s="216"/>
      <c r="I32" s="219"/>
      <c r="J32" s="216"/>
      <c r="K32" s="218"/>
      <c r="L32" s="216"/>
      <c r="M32" s="437"/>
      <c r="N32" s="216"/>
      <c r="O32" s="253"/>
      <c r="P32" s="299"/>
      <c r="Q32" s="216"/>
      <c r="R32" s="218"/>
      <c r="S32" s="216"/>
      <c r="T32" s="437"/>
      <c r="U32" s="216"/>
      <c r="V32" s="216"/>
      <c r="W32" s="216"/>
      <c r="X32" s="216"/>
      <c r="Y32" s="218"/>
      <c r="Z32" s="216"/>
      <c r="AA32" s="437"/>
      <c r="AB32" s="216"/>
      <c r="AC32" s="216"/>
      <c r="AD32" s="219"/>
      <c r="AE32" s="216"/>
      <c r="AF32" s="254"/>
      <c r="AG32" s="216"/>
      <c r="AH32" s="216"/>
      <c r="AI32" s="216"/>
      <c r="AJ32" s="216"/>
      <c r="AK32" s="342"/>
      <c r="AL32" s="212">
        <f t="shared" si="1"/>
        <v>0</v>
      </c>
      <c r="AM32" s="145">
        <f t="shared" si="2"/>
        <v>28</v>
      </c>
    </row>
    <row r="33" spans="1:39" ht="15.75" customHeight="1" x14ac:dyDescent="0.25">
      <c r="A33" s="28">
        <v>30</v>
      </c>
      <c r="B33" s="7" t="s">
        <v>33</v>
      </c>
      <c r="C33" s="25">
        <v>68</v>
      </c>
      <c r="D33" s="289">
        <v>400</v>
      </c>
      <c r="E33" s="286">
        <v>300</v>
      </c>
      <c r="F33" s="328">
        <f t="shared" si="0"/>
        <v>75</v>
      </c>
      <c r="G33" s="341"/>
      <c r="H33" s="295"/>
      <c r="I33" s="219"/>
      <c r="J33" s="217"/>
      <c r="K33" s="218"/>
      <c r="L33" s="216"/>
      <c r="M33" s="437"/>
      <c r="N33" s="216"/>
      <c r="O33" s="216"/>
      <c r="P33" s="393"/>
      <c r="Q33" s="253"/>
      <c r="R33" s="218"/>
      <c r="S33" s="216"/>
      <c r="T33" s="437"/>
      <c r="U33" s="216"/>
      <c r="V33" s="295"/>
      <c r="W33" s="216"/>
      <c r="X33" s="216"/>
      <c r="Y33" s="218"/>
      <c r="Z33" s="216"/>
      <c r="AA33" s="437"/>
      <c r="AB33" s="432"/>
      <c r="AC33" s="216"/>
      <c r="AD33" s="219"/>
      <c r="AE33" s="216"/>
      <c r="AF33" s="218"/>
      <c r="AG33" s="216"/>
      <c r="AH33" s="216"/>
      <c r="AI33" s="216"/>
      <c r="AJ33" s="216"/>
      <c r="AK33" s="342"/>
      <c r="AL33" s="212">
        <f t="shared" si="1"/>
        <v>0</v>
      </c>
      <c r="AM33" s="145">
        <f t="shared" si="2"/>
        <v>300</v>
      </c>
    </row>
    <row r="34" spans="1:39" ht="15.75" customHeight="1" x14ac:dyDescent="0.25">
      <c r="A34" s="28">
        <v>31</v>
      </c>
      <c r="B34" s="7" t="s">
        <v>34</v>
      </c>
      <c r="C34" s="25">
        <v>9</v>
      </c>
      <c r="D34" s="289">
        <v>20</v>
      </c>
      <c r="E34" s="286">
        <v>20</v>
      </c>
      <c r="F34" s="328">
        <f t="shared" si="0"/>
        <v>5</v>
      </c>
      <c r="G34" s="341"/>
      <c r="H34" s="216"/>
      <c r="I34" s="219"/>
      <c r="J34" s="216"/>
      <c r="K34" s="218"/>
      <c r="L34" s="216"/>
      <c r="M34" s="437"/>
      <c r="N34" s="216"/>
      <c r="O34" s="216"/>
      <c r="P34" s="406"/>
      <c r="Q34" s="216"/>
      <c r="R34" s="218"/>
      <c r="S34" s="216"/>
      <c r="T34" s="437"/>
      <c r="U34" s="216"/>
      <c r="V34" s="216"/>
      <c r="W34" s="216"/>
      <c r="X34" s="216"/>
      <c r="Y34" s="218"/>
      <c r="Z34" s="216"/>
      <c r="AA34" s="437"/>
      <c r="AB34" s="216"/>
      <c r="AC34" s="216"/>
      <c r="AD34" s="219"/>
      <c r="AE34" s="216"/>
      <c r="AF34" s="218"/>
      <c r="AG34" s="216"/>
      <c r="AH34" s="216"/>
      <c r="AI34" s="216"/>
      <c r="AJ34" s="216"/>
      <c r="AK34" s="342"/>
      <c r="AL34" s="212">
        <f t="shared" si="1"/>
        <v>0</v>
      </c>
      <c r="AM34" s="145">
        <f t="shared" si="2"/>
        <v>20</v>
      </c>
    </row>
    <row r="35" spans="1:39" ht="15.75" customHeight="1" x14ac:dyDescent="0.3">
      <c r="A35" s="28">
        <v>32</v>
      </c>
      <c r="B35" s="7" t="s">
        <v>35</v>
      </c>
      <c r="C35" s="25">
        <v>52</v>
      </c>
      <c r="D35" s="289">
        <v>50</v>
      </c>
      <c r="E35" s="286">
        <v>45</v>
      </c>
      <c r="F35" s="328">
        <f t="shared" si="0"/>
        <v>11.25</v>
      </c>
      <c r="G35" s="341"/>
      <c r="H35" s="216"/>
      <c r="I35" s="299"/>
      <c r="J35" s="216"/>
      <c r="K35" s="218"/>
      <c r="L35" s="216"/>
      <c r="M35" s="437"/>
      <c r="N35" s="216"/>
      <c r="O35" s="216"/>
      <c r="P35" s="393"/>
      <c r="Q35" s="216"/>
      <c r="R35" s="218"/>
      <c r="S35" s="253"/>
      <c r="T35" s="437"/>
      <c r="U35" s="216"/>
      <c r="V35" s="216"/>
      <c r="W35" s="216"/>
      <c r="X35" s="216"/>
      <c r="Y35" s="218"/>
      <c r="Z35" s="216"/>
      <c r="AA35" s="437"/>
      <c r="AB35" s="216"/>
      <c r="AC35" s="216"/>
      <c r="AD35" s="219"/>
      <c r="AE35" s="216"/>
      <c r="AF35" s="255"/>
      <c r="AG35" s="216"/>
      <c r="AH35" s="216"/>
      <c r="AI35" s="216"/>
      <c r="AJ35" s="216"/>
      <c r="AK35" s="342"/>
      <c r="AL35" s="212">
        <f t="shared" si="1"/>
        <v>0</v>
      </c>
      <c r="AM35" s="145">
        <f t="shared" si="2"/>
        <v>45</v>
      </c>
    </row>
    <row r="36" spans="1:39" ht="15.75" customHeight="1" x14ac:dyDescent="0.3">
      <c r="A36" s="28">
        <v>33</v>
      </c>
      <c r="B36" s="7" t="s">
        <v>36</v>
      </c>
      <c r="C36" s="25">
        <v>350</v>
      </c>
      <c r="D36" s="289">
        <v>400</v>
      </c>
      <c r="E36" s="286">
        <v>300</v>
      </c>
      <c r="F36" s="328">
        <f t="shared" si="0"/>
        <v>75</v>
      </c>
      <c r="G36" s="341"/>
      <c r="H36" s="216"/>
      <c r="I36" s="219"/>
      <c r="J36" s="216"/>
      <c r="K36" s="218"/>
      <c r="L36" s="216"/>
      <c r="M36" s="437"/>
      <c r="N36" s="216"/>
      <c r="O36" s="216"/>
      <c r="P36" s="393"/>
      <c r="Q36" s="216"/>
      <c r="R36" s="225"/>
      <c r="S36" s="216"/>
      <c r="T36" s="437"/>
      <c r="U36" s="216"/>
      <c r="V36" s="216"/>
      <c r="W36" s="216"/>
      <c r="X36" s="216"/>
      <c r="Y36" s="225"/>
      <c r="Z36" s="216"/>
      <c r="AA36" s="437"/>
      <c r="AB36" s="216"/>
      <c r="AC36" s="216"/>
      <c r="AD36" s="219"/>
      <c r="AE36" s="216"/>
      <c r="AF36" s="218"/>
      <c r="AG36" s="256"/>
      <c r="AH36" s="216"/>
      <c r="AI36" s="216"/>
      <c r="AJ36" s="216"/>
      <c r="AK36" s="342"/>
      <c r="AL36" s="212">
        <f t="shared" ref="AL36:AL67" si="3">SUM(G36:AK36)</f>
        <v>0</v>
      </c>
      <c r="AM36" s="145">
        <f t="shared" ref="AM36:AM67" si="4">E36-AL36</f>
        <v>300</v>
      </c>
    </row>
    <row r="37" spans="1:39" ht="15.75" customHeight="1" x14ac:dyDescent="0.3">
      <c r="A37" s="28">
        <v>34</v>
      </c>
      <c r="B37" s="7" t="s">
        <v>38</v>
      </c>
      <c r="C37" s="25">
        <v>10</v>
      </c>
      <c r="D37" s="289">
        <v>5</v>
      </c>
      <c r="E37" s="286">
        <v>4</v>
      </c>
      <c r="F37" s="328">
        <f t="shared" si="0"/>
        <v>1</v>
      </c>
      <c r="G37" s="349"/>
      <c r="H37" s="216"/>
      <c r="I37" s="279"/>
      <c r="J37" s="216"/>
      <c r="K37" s="218"/>
      <c r="L37" s="216"/>
      <c r="M37" s="437"/>
      <c r="N37" s="216"/>
      <c r="O37" s="216"/>
      <c r="P37" s="393"/>
      <c r="Q37" s="216"/>
      <c r="R37" s="414"/>
      <c r="S37" s="216"/>
      <c r="T37" s="437"/>
      <c r="U37" s="216"/>
      <c r="V37" s="216"/>
      <c r="W37" s="216"/>
      <c r="X37" s="216"/>
      <c r="Y37" s="218"/>
      <c r="Z37" s="216"/>
      <c r="AA37" s="437"/>
      <c r="AB37" s="216"/>
      <c r="AC37" s="216"/>
      <c r="AD37" s="219"/>
      <c r="AE37" s="216"/>
      <c r="AF37" s="218"/>
      <c r="AG37" s="216"/>
      <c r="AH37" s="216"/>
      <c r="AI37" s="216"/>
      <c r="AJ37" s="216"/>
      <c r="AK37" s="342"/>
      <c r="AL37" s="212">
        <f t="shared" si="3"/>
        <v>0</v>
      </c>
      <c r="AM37" s="145">
        <f t="shared" si="4"/>
        <v>4</v>
      </c>
    </row>
    <row r="38" spans="1:39" ht="15.75" customHeight="1" x14ac:dyDescent="0.25">
      <c r="A38" s="28">
        <v>35</v>
      </c>
      <c r="B38" s="7" t="s">
        <v>39</v>
      </c>
      <c r="C38" s="25">
        <v>8</v>
      </c>
      <c r="D38" s="289">
        <v>30</v>
      </c>
      <c r="E38" s="286">
        <v>30</v>
      </c>
      <c r="F38" s="328">
        <f t="shared" si="0"/>
        <v>7.5</v>
      </c>
      <c r="G38" s="341"/>
      <c r="H38" s="280"/>
      <c r="I38" s="219"/>
      <c r="J38" s="216"/>
      <c r="K38" s="218"/>
      <c r="L38" s="216"/>
      <c r="M38" s="437"/>
      <c r="N38" s="216"/>
      <c r="O38" s="216"/>
      <c r="P38" s="393"/>
      <c r="Q38" s="216"/>
      <c r="R38" s="218"/>
      <c r="S38" s="216"/>
      <c r="T38" s="437"/>
      <c r="U38" s="216"/>
      <c r="V38" s="216"/>
      <c r="W38" s="216"/>
      <c r="X38" s="216"/>
      <c r="Y38" s="218"/>
      <c r="Z38" s="257"/>
      <c r="AA38" s="437"/>
      <c r="AB38" s="216"/>
      <c r="AC38" s="216"/>
      <c r="AD38" s="219"/>
      <c r="AE38" s="216"/>
      <c r="AF38" s="218"/>
      <c r="AG38" s="216"/>
      <c r="AH38" s="216"/>
      <c r="AI38" s="216"/>
      <c r="AJ38" s="216"/>
      <c r="AK38" s="342"/>
      <c r="AL38" s="212">
        <f t="shared" si="3"/>
        <v>0</v>
      </c>
      <c r="AM38" s="145">
        <f t="shared" si="4"/>
        <v>30</v>
      </c>
    </row>
    <row r="39" spans="1:39" ht="15.75" customHeight="1" x14ac:dyDescent="0.3">
      <c r="A39" s="28">
        <v>36</v>
      </c>
      <c r="B39" s="7" t="s">
        <v>40</v>
      </c>
      <c r="C39" s="25">
        <v>73</v>
      </c>
      <c r="D39" s="289">
        <v>400</v>
      </c>
      <c r="E39" s="286">
        <v>200</v>
      </c>
      <c r="F39" s="328">
        <f t="shared" si="0"/>
        <v>50</v>
      </c>
      <c r="G39" s="347"/>
      <c r="H39" s="216"/>
      <c r="I39" s="219"/>
      <c r="J39" s="216"/>
      <c r="K39" s="218"/>
      <c r="L39" s="363"/>
      <c r="M39" s="372"/>
      <c r="N39" s="216"/>
      <c r="O39" s="216"/>
      <c r="P39" s="393"/>
      <c r="Q39" s="216"/>
      <c r="R39" s="225"/>
      <c r="S39" s="216"/>
      <c r="T39" s="444"/>
      <c r="U39" s="216"/>
      <c r="V39" s="216"/>
      <c r="W39" s="216"/>
      <c r="X39" s="295"/>
      <c r="Y39" s="218"/>
      <c r="Z39" s="258"/>
      <c r="AA39" s="444"/>
      <c r="AB39" s="216"/>
      <c r="AC39" s="216"/>
      <c r="AD39" s="219"/>
      <c r="AE39" s="216"/>
      <c r="AF39" s="218"/>
      <c r="AG39" s="216"/>
      <c r="AH39" s="216"/>
      <c r="AI39" s="216"/>
      <c r="AJ39" s="216"/>
      <c r="AK39" s="342"/>
      <c r="AL39" s="212">
        <f t="shared" si="3"/>
        <v>0</v>
      </c>
      <c r="AM39" s="145">
        <f t="shared" si="4"/>
        <v>200</v>
      </c>
    </row>
    <row r="40" spans="1:39" ht="15.75" customHeight="1" thickBot="1" x14ac:dyDescent="0.3">
      <c r="A40" s="29">
        <v>37</v>
      </c>
      <c r="B40" s="10" t="s">
        <v>41</v>
      </c>
      <c r="C40" s="26">
        <v>11</v>
      </c>
      <c r="D40" s="290">
        <v>5</v>
      </c>
      <c r="E40" s="287">
        <v>20</v>
      </c>
      <c r="F40" s="332">
        <f t="shared" si="0"/>
        <v>5</v>
      </c>
      <c r="G40" s="345"/>
      <c r="H40" s="236"/>
      <c r="I40" s="239"/>
      <c r="J40" s="236"/>
      <c r="K40" s="238"/>
      <c r="L40" s="362"/>
      <c r="M40" s="365"/>
      <c r="N40" s="236"/>
      <c r="O40" s="236"/>
      <c r="P40" s="394"/>
      <c r="Q40" s="236"/>
      <c r="R40" s="238"/>
      <c r="S40" s="236"/>
      <c r="T40" s="438"/>
      <c r="U40" s="236"/>
      <c r="V40" s="236"/>
      <c r="W40" s="236"/>
      <c r="X40" s="236"/>
      <c r="Y40" s="238"/>
      <c r="Z40" s="275"/>
      <c r="AA40" s="438"/>
      <c r="AB40" s="236"/>
      <c r="AC40" s="236"/>
      <c r="AD40" s="239"/>
      <c r="AE40" s="236"/>
      <c r="AF40" s="238"/>
      <c r="AG40" s="236"/>
      <c r="AH40" s="236"/>
      <c r="AI40" s="236"/>
      <c r="AJ40" s="236"/>
      <c r="AK40" s="346"/>
      <c r="AL40" s="243">
        <f t="shared" si="3"/>
        <v>0</v>
      </c>
      <c r="AM40" s="30">
        <f t="shared" si="4"/>
        <v>20</v>
      </c>
    </row>
    <row r="41" spans="1:39" ht="15.75" customHeight="1" thickBot="1" x14ac:dyDescent="0.3">
      <c r="A41" s="27">
        <v>38</v>
      </c>
      <c r="B41" s="304" t="s">
        <v>42</v>
      </c>
      <c r="C41" s="31">
        <v>6</v>
      </c>
      <c r="D41" s="198"/>
      <c r="E41" s="291">
        <v>16</v>
      </c>
      <c r="F41" s="277">
        <v>4</v>
      </c>
      <c r="G41" s="350"/>
      <c r="H41" s="214"/>
      <c r="I41" s="214"/>
      <c r="J41" s="214"/>
      <c r="K41" s="215"/>
      <c r="L41" s="364"/>
      <c r="M41" s="391"/>
      <c r="N41" s="445"/>
      <c r="O41" s="261"/>
      <c r="P41" s="396"/>
      <c r="Q41" s="272"/>
      <c r="R41" s="273"/>
      <c r="S41" s="246"/>
      <c r="T41" s="436"/>
      <c r="U41" s="246"/>
      <c r="V41" s="246"/>
      <c r="W41" s="420"/>
      <c r="X41" s="429"/>
      <c r="Y41" s="273"/>
      <c r="Z41" s="274"/>
      <c r="AA41" s="436"/>
      <c r="AB41" s="246"/>
      <c r="AC41" s="246"/>
      <c r="AD41" s="270"/>
      <c r="AE41" s="246"/>
      <c r="AF41" s="273"/>
      <c r="AG41" s="246"/>
      <c r="AH41" s="246"/>
      <c r="AI41" s="246"/>
      <c r="AJ41" s="246"/>
      <c r="AK41" s="351"/>
      <c r="AL41" s="251">
        <f t="shared" si="3"/>
        <v>0</v>
      </c>
      <c r="AM41" s="144">
        <f t="shared" si="4"/>
        <v>16</v>
      </c>
    </row>
    <row r="42" spans="1:39" ht="15.75" customHeight="1" x14ac:dyDescent="0.3">
      <c r="A42" s="28">
        <v>39</v>
      </c>
      <c r="B42" s="134" t="s">
        <v>43</v>
      </c>
      <c r="C42" s="25">
        <v>16</v>
      </c>
      <c r="D42" s="197">
        <v>50</v>
      </c>
      <c r="E42" s="4">
        <v>20</v>
      </c>
      <c r="F42" s="25">
        <f t="shared" ref="F42:F79" si="5">E42/4</f>
        <v>5</v>
      </c>
      <c r="G42" s="321"/>
      <c r="H42" s="205"/>
      <c r="I42" s="205"/>
      <c r="J42" s="205"/>
      <c r="K42" s="206"/>
      <c r="L42" s="301"/>
      <c r="M42" s="205"/>
      <c r="N42" s="446"/>
      <c r="O42" s="262"/>
      <c r="P42" s="393"/>
      <c r="Q42" s="218"/>
      <c r="R42" s="218"/>
      <c r="S42" s="226"/>
      <c r="T42" s="437"/>
      <c r="U42" s="226"/>
      <c r="V42" s="226"/>
      <c r="W42" s="421"/>
      <c r="X42" s="411"/>
      <c r="Y42" s="218"/>
      <c r="Z42" s="264"/>
      <c r="AA42" s="437"/>
      <c r="AB42" s="226"/>
      <c r="AC42" s="226"/>
      <c r="AD42" s="219"/>
      <c r="AE42" s="226"/>
      <c r="AF42" s="218"/>
      <c r="AG42" s="226"/>
      <c r="AH42" s="226"/>
      <c r="AI42" s="226"/>
      <c r="AJ42" s="226"/>
      <c r="AK42" s="342"/>
      <c r="AL42" s="212">
        <f t="shared" si="3"/>
        <v>0</v>
      </c>
      <c r="AM42" s="145">
        <f t="shared" si="4"/>
        <v>20</v>
      </c>
    </row>
    <row r="43" spans="1:39" ht="15.75" customHeight="1" x14ac:dyDescent="0.3">
      <c r="A43" s="28">
        <v>40</v>
      </c>
      <c r="B43" s="134" t="s">
        <v>44</v>
      </c>
      <c r="C43" s="25">
        <v>8</v>
      </c>
      <c r="D43" s="197">
        <v>30</v>
      </c>
      <c r="E43" s="4">
        <v>20</v>
      </c>
      <c r="F43" s="25">
        <f t="shared" si="5"/>
        <v>5</v>
      </c>
      <c r="G43" s="321"/>
      <c r="H43" s="205"/>
      <c r="I43" s="205"/>
      <c r="J43" s="205"/>
      <c r="K43" s="206"/>
      <c r="L43" s="301"/>
      <c r="M43" s="205"/>
      <c r="N43" s="446"/>
      <c r="O43" s="262"/>
      <c r="P43" s="393"/>
      <c r="Q43" s="218"/>
      <c r="R43" s="218"/>
      <c r="S43" s="226"/>
      <c r="T43" s="437"/>
      <c r="U43" s="226"/>
      <c r="V43" s="226"/>
      <c r="W43" s="421"/>
      <c r="X43" s="226"/>
      <c r="Y43" s="218"/>
      <c r="Z43" s="264"/>
      <c r="AA43" s="437"/>
      <c r="AB43" s="226"/>
      <c r="AC43" s="226"/>
      <c r="AD43" s="219"/>
      <c r="AE43" s="226"/>
      <c r="AF43" s="218"/>
      <c r="AG43" s="226"/>
      <c r="AH43" s="226"/>
      <c r="AI43" s="226"/>
      <c r="AJ43" s="226"/>
      <c r="AK43" s="342"/>
      <c r="AL43" s="212">
        <f t="shared" si="3"/>
        <v>0</v>
      </c>
      <c r="AM43" s="145">
        <f t="shared" si="4"/>
        <v>20</v>
      </c>
    </row>
    <row r="44" spans="1:39" ht="15.75" customHeight="1" x14ac:dyDescent="0.3">
      <c r="A44" s="28">
        <v>41</v>
      </c>
      <c r="B44" s="134" t="s">
        <v>45</v>
      </c>
      <c r="C44" s="25">
        <v>8</v>
      </c>
      <c r="D44" s="197">
        <v>30</v>
      </c>
      <c r="E44" s="4">
        <v>20</v>
      </c>
      <c r="F44" s="25">
        <f t="shared" si="5"/>
        <v>5</v>
      </c>
      <c r="G44" s="321"/>
      <c r="H44" s="205"/>
      <c r="I44" s="205"/>
      <c r="J44" s="205"/>
      <c r="K44" s="206"/>
      <c r="L44" s="301"/>
      <c r="M44" s="205"/>
      <c r="N44" s="446"/>
      <c r="O44" s="262"/>
      <c r="P44" s="393"/>
      <c r="Q44" s="218"/>
      <c r="R44" s="218"/>
      <c r="S44" s="226"/>
      <c r="T44" s="437"/>
      <c r="U44" s="226"/>
      <c r="V44" s="226"/>
      <c r="W44" s="421"/>
      <c r="X44" s="411"/>
      <c r="Y44" s="218"/>
      <c r="Z44" s="264"/>
      <c r="AA44" s="437"/>
      <c r="AB44" s="226"/>
      <c r="AC44" s="226"/>
      <c r="AD44" s="219"/>
      <c r="AE44" s="226"/>
      <c r="AF44" s="218"/>
      <c r="AG44" s="226"/>
      <c r="AH44" s="226"/>
      <c r="AI44" s="226"/>
      <c r="AJ44" s="226"/>
      <c r="AK44" s="342"/>
      <c r="AL44" s="212">
        <f t="shared" si="3"/>
        <v>0</v>
      </c>
      <c r="AM44" s="145">
        <f t="shared" si="4"/>
        <v>20</v>
      </c>
    </row>
    <row r="45" spans="1:39" ht="15.75" customHeight="1" x14ac:dyDescent="0.3">
      <c r="A45" s="28">
        <v>42</v>
      </c>
      <c r="B45" s="134" t="s">
        <v>46</v>
      </c>
      <c r="C45" s="25">
        <v>8</v>
      </c>
      <c r="D45" s="197">
        <v>30</v>
      </c>
      <c r="E45" s="4">
        <v>20</v>
      </c>
      <c r="F45" s="25">
        <f t="shared" si="5"/>
        <v>5</v>
      </c>
      <c r="G45" s="321"/>
      <c r="H45" s="205"/>
      <c r="I45" s="205"/>
      <c r="J45" s="205"/>
      <c r="K45" s="206"/>
      <c r="L45" s="301"/>
      <c r="M45" s="205"/>
      <c r="N45" s="446"/>
      <c r="O45" s="262"/>
      <c r="P45" s="393"/>
      <c r="Q45" s="218"/>
      <c r="R45" s="218"/>
      <c r="S45" s="226"/>
      <c r="T45" s="437"/>
      <c r="U45" s="226"/>
      <c r="V45" s="226"/>
      <c r="W45" s="421"/>
      <c r="X45" s="411"/>
      <c r="Y45" s="218"/>
      <c r="Z45" s="264"/>
      <c r="AA45" s="437"/>
      <c r="AB45" s="226"/>
      <c r="AC45" s="226"/>
      <c r="AD45" s="219"/>
      <c r="AE45" s="226"/>
      <c r="AF45" s="218"/>
      <c r="AG45" s="226"/>
      <c r="AH45" s="226"/>
      <c r="AI45" s="226"/>
      <c r="AJ45" s="226"/>
      <c r="AK45" s="342"/>
      <c r="AL45" s="212">
        <f t="shared" si="3"/>
        <v>0</v>
      </c>
      <c r="AM45" s="145">
        <f t="shared" si="4"/>
        <v>20</v>
      </c>
    </row>
    <row r="46" spans="1:39" ht="15.75" customHeight="1" x14ac:dyDescent="0.3">
      <c r="A46" s="28">
        <v>43</v>
      </c>
      <c r="B46" s="134" t="s">
        <v>47</v>
      </c>
      <c r="C46" s="25">
        <v>12</v>
      </c>
      <c r="D46" s="197">
        <v>30</v>
      </c>
      <c r="E46" s="4">
        <v>20</v>
      </c>
      <c r="F46" s="25">
        <f t="shared" si="5"/>
        <v>5</v>
      </c>
      <c r="G46" s="321"/>
      <c r="H46" s="205"/>
      <c r="I46" s="205"/>
      <c r="J46" s="205"/>
      <c r="K46" s="206"/>
      <c r="L46" s="301"/>
      <c r="M46" s="205"/>
      <c r="N46" s="446"/>
      <c r="O46" s="262"/>
      <c r="P46" s="393"/>
      <c r="Q46" s="218"/>
      <c r="R46" s="218"/>
      <c r="S46" s="226"/>
      <c r="T46" s="437"/>
      <c r="U46" s="226"/>
      <c r="V46" s="226"/>
      <c r="W46" s="421"/>
      <c r="X46" s="411"/>
      <c r="Y46" s="218"/>
      <c r="Z46" s="265"/>
      <c r="AA46" s="437"/>
      <c r="AB46" s="226"/>
      <c r="AC46" s="226"/>
      <c r="AD46" s="219"/>
      <c r="AE46" s="226"/>
      <c r="AF46" s="218"/>
      <c r="AG46" s="226"/>
      <c r="AH46" s="226"/>
      <c r="AI46" s="226"/>
      <c r="AJ46" s="226"/>
      <c r="AK46" s="342"/>
      <c r="AL46" s="212">
        <f t="shared" si="3"/>
        <v>0</v>
      </c>
      <c r="AM46" s="145">
        <f t="shared" si="4"/>
        <v>20</v>
      </c>
    </row>
    <row r="47" spans="1:39" ht="15.75" customHeight="1" x14ac:dyDescent="0.3">
      <c r="A47" s="28">
        <v>44</v>
      </c>
      <c r="B47" s="134" t="s">
        <v>48</v>
      </c>
      <c r="C47" s="25">
        <v>87</v>
      </c>
      <c r="D47" s="197">
        <v>400</v>
      </c>
      <c r="E47" s="4">
        <v>400</v>
      </c>
      <c r="F47" s="25">
        <f t="shared" si="5"/>
        <v>100</v>
      </c>
      <c r="G47" s="321"/>
      <c r="H47" s="207"/>
      <c r="I47" s="205"/>
      <c r="J47" s="205"/>
      <c r="K47" s="206"/>
      <c r="L47" s="205"/>
      <c r="M47" s="205"/>
      <c r="N47" s="446"/>
      <c r="O47" s="263"/>
      <c r="P47" s="401"/>
      <c r="Q47" s="218"/>
      <c r="R47" s="218"/>
      <c r="S47" s="226"/>
      <c r="T47" s="437"/>
      <c r="U47" s="411"/>
      <c r="V47" s="226"/>
      <c r="W47" s="421"/>
      <c r="X47" s="226"/>
      <c r="Y47" s="218"/>
      <c r="Z47" s="264"/>
      <c r="AA47" s="437"/>
      <c r="AB47" s="226"/>
      <c r="AC47" s="226"/>
      <c r="AD47" s="219"/>
      <c r="AE47" s="226"/>
      <c r="AF47" s="225"/>
      <c r="AG47" s="226"/>
      <c r="AH47" s="226"/>
      <c r="AI47" s="226"/>
      <c r="AJ47" s="226"/>
      <c r="AK47" s="342"/>
      <c r="AL47" s="212">
        <f t="shared" si="3"/>
        <v>0</v>
      </c>
      <c r="AM47" s="145">
        <f t="shared" si="4"/>
        <v>400</v>
      </c>
    </row>
    <row r="48" spans="1:39" ht="15.75" customHeight="1" x14ac:dyDescent="0.3">
      <c r="A48" s="28">
        <v>45</v>
      </c>
      <c r="B48" s="134" t="s">
        <v>53</v>
      </c>
      <c r="C48" s="25">
        <v>7</v>
      </c>
      <c r="D48" s="197">
        <v>10</v>
      </c>
      <c r="E48" s="4">
        <v>8</v>
      </c>
      <c r="F48" s="25">
        <f t="shared" si="5"/>
        <v>2</v>
      </c>
      <c r="G48" s="321"/>
      <c r="H48" s="205"/>
      <c r="I48" s="205"/>
      <c r="J48" s="205"/>
      <c r="K48" s="206"/>
      <c r="L48" s="205"/>
      <c r="M48" s="205"/>
      <c r="N48" s="446"/>
      <c r="O48" s="390"/>
      <c r="P48" s="393"/>
      <c r="Q48" s="218"/>
      <c r="R48" s="218"/>
      <c r="S48" s="226"/>
      <c r="T48" s="437"/>
      <c r="U48" s="226"/>
      <c r="V48" s="226"/>
      <c r="W48" s="421"/>
      <c r="X48" s="226"/>
      <c r="Y48" s="218"/>
      <c r="Z48" s="264"/>
      <c r="AA48" s="437"/>
      <c r="AB48" s="226"/>
      <c r="AC48" s="226"/>
      <c r="AD48" s="219"/>
      <c r="AE48" s="226"/>
      <c r="AF48" s="218"/>
      <c r="AG48" s="226"/>
      <c r="AH48" s="226"/>
      <c r="AI48" s="226"/>
      <c r="AJ48" s="226"/>
      <c r="AK48" s="342"/>
      <c r="AL48" s="212">
        <f t="shared" si="3"/>
        <v>0</v>
      </c>
      <c r="AM48" s="145">
        <f t="shared" si="4"/>
        <v>8</v>
      </c>
    </row>
    <row r="49" spans="1:39" ht="15.75" customHeight="1" x14ac:dyDescent="0.3">
      <c r="A49" s="28">
        <v>46</v>
      </c>
      <c r="B49" s="134" t="s">
        <v>54</v>
      </c>
      <c r="C49" s="25">
        <v>8</v>
      </c>
      <c r="D49" s="197">
        <v>50</v>
      </c>
      <c r="E49" s="4">
        <v>40</v>
      </c>
      <c r="F49" s="25">
        <f t="shared" si="5"/>
        <v>10</v>
      </c>
      <c r="G49" s="321"/>
      <c r="H49" s="293"/>
      <c r="I49" s="205"/>
      <c r="J49" s="205"/>
      <c r="K49" s="206"/>
      <c r="L49" s="205"/>
      <c r="M49" s="205"/>
      <c r="N49" s="446"/>
      <c r="O49" s="390"/>
      <c r="P49" s="393"/>
      <c r="Q49" s="218"/>
      <c r="R49" s="218"/>
      <c r="S49" s="226"/>
      <c r="T49" s="437"/>
      <c r="U49" s="226"/>
      <c r="V49" s="411"/>
      <c r="W49" s="421"/>
      <c r="X49" s="226"/>
      <c r="Y49" s="218"/>
      <c r="Z49" s="264"/>
      <c r="AA49" s="437"/>
      <c r="AB49" s="226"/>
      <c r="AC49" s="226"/>
      <c r="AD49" s="219"/>
      <c r="AE49" s="226"/>
      <c r="AF49" s="218"/>
      <c r="AG49" s="226"/>
      <c r="AH49" s="226"/>
      <c r="AI49" s="226"/>
      <c r="AJ49" s="226"/>
      <c r="AK49" s="342"/>
      <c r="AL49" s="212">
        <f t="shared" si="3"/>
        <v>0</v>
      </c>
      <c r="AM49" s="145">
        <f t="shared" si="4"/>
        <v>40</v>
      </c>
    </row>
    <row r="50" spans="1:39" ht="15.75" customHeight="1" x14ac:dyDescent="0.3">
      <c r="A50" s="28">
        <v>47</v>
      </c>
      <c r="B50" s="134" t="s">
        <v>55</v>
      </c>
      <c r="C50" s="25">
        <v>25</v>
      </c>
      <c r="D50" s="197">
        <v>50</v>
      </c>
      <c r="E50" s="4">
        <v>40</v>
      </c>
      <c r="F50" s="25">
        <f t="shared" si="5"/>
        <v>10</v>
      </c>
      <c r="G50" s="321"/>
      <c r="H50" s="205"/>
      <c r="I50" s="205"/>
      <c r="J50" s="301"/>
      <c r="K50" s="206"/>
      <c r="L50" s="205"/>
      <c r="M50" s="207"/>
      <c r="N50" s="447"/>
      <c r="O50" s="262"/>
      <c r="P50" s="400"/>
      <c r="Q50" s="223"/>
      <c r="R50" s="218"/>
      <c r="S50" s="226"/>
      <c r="T50" s="437"/>
      <c r="U50" s="226"/>
      <c r="V50" s="226"/>
      <c r="W50" s="421"/>
      <c r="X50" s="226"/>
      <c r="Y50" s="225"/>
      <c r="Z50" s="264"/>
      <c r="AA50" s="437"/>
      <c r="AB50" s="433"/>
      <c r="AC50" s="226"/>
      <c r="AD50" s="219"/>
      <c r="AE50" s="226"/>
      <c r="AF50" s="218"/>
      <c r="AG50" s="226"/>
      <c r="AH50" s="226"/>
      <c r="AI50" s="226"/>
      <c r="AJ50" s="226"/>
      <c r="AK50" s="342"/>
      <c r="AL50" s="212">
        <f t="shared" si="3"/>
        <v>0</v>
      </c>
      <c r="AM50" s="145">
        <f t="shared" si="4"/>
        <v>40</v>
      </c>
    </row>
    <row r="51" spans="1:39" ht="15.75" customHeight="1" x14ac:dyDescent="0.3">
      <c r="A51" s="28">
        <v>48</v>
      </c>
      <c r="B51" s="135" t="s">
        <v>56</v>
      </c>
      <c r="C51" s="25"/>
      <c r="D51" s="197"/>
      <c r="E51" s="9">
        <v>129</v>
      </c>
      <c r="F51" s="32">
        <f t="shared" si="5"/>
        <v>32.25</v>
      </c>
      <c r="G51" s="352"/>
      <c r="H51" s="294"/>
      <c r="I51" s="207"/>
      <c r="J51" s="301"/>
      <c r="K51" s="302"/>
      <c r="L51" s="210"/>
      <c r="M51" s="293"/>
      <c r="N51" s="293"/>
      <c r="O51" s="262"/>
      <c r="P51" s="299"/>
      <c r="Q51" s="223"/>
      <c r="R51" s="413"/>
      <c r="S51" s="415"/>
      <c r="T51" s="437"/>
      <c r="U51" s="226"/>
      <c r="V51" s="411"/>
      <c r="W51" s="299"/>
      <c r="X51" s="226"/>
      <c r="Y51" s="300"/>
      <c r="Z51" s="267"/>
      <c r="AA51" s="437"/>
      <c r="AB51" s="433"/>
      <c r="AC51" s="226"/>
      <c r="AD51" s="219"/>
      <c r="AE51" s="226"/>
      <c r="AF51" s="218"/>
      <c r="AG51" s="226"/>
      <c r="AH51" s="226"/>
      <c r="AI51" s="226"/>
      <c r="AJ51" s="226"/>
      <c r="AK51" s="342"/>
      <c r="AL51" s="212">
        <f t="shared" si="3"/>
        <v>0</v>
      </c>
      <c r="AM51" s="145">
        <f t="shared" si="4"/>
        <v>129</v>
      </c>
    </row>
    <row r="52" spans="1:39" ht="15.75" customHeight="1" x14ac:dyDescent="0.3">
      <c r="A52" s="28">
        <v>49</v>
      </c>
      <c r="B52" s="134" t="s">
        <v>57</v>
      </c>
      <c r="C52" s="25">
        <v>4</v>
      </c>
      <c r="D52" s="197">
        <v>5</v>
      </c>
      <c r="E52" s="4">
        <v>4</v>
      </c>
      <c r="F52" s="25">
        <f t="shared" si="5"/>
        <v>1</v>
      </c>
      <c r="G52" s="321"/>
      <c r="H52" s="205"/>
      <c r="I52" s="205"/>
      <c r="J52" s="205"/>
      <c r="K52" s="206"/>
      <c r="L52" s="205"/>
      <c r="M52" s="205"/>
      <c r="N52" s="452"/>
      <c r="O52" s="262"/>
      <c r="P52" s="393"/>
      <c r="Q52" s="218"/>
      <c r="R52" s="218"/>
      <c r="S52" s="266"/>
      <c r="T52" s="437"/>
      <c r="U52" s="226"/>
      <c r="V52" s="226"/>
      <c r="W52" s="421"/>
      <c r="X52" s="226"/>
      <c r="Y52" s="218"/>
      <c r="Z52" s="264"/>
      <c r="AA52" s="437"/>
      <c r="AB52" s="226"/>
      <c r="AC52" s="226"/>
      <c r="AD52" s="219"/>
      <c r="AE52" s="226"/>
      <c r="AF52" s="218"/>
      <c r="AG52" s="226"/>
      <c r="AH52" s="226"/>
      <c r="AI52" s="226"/>
      <c r="AJ52" s="226"/>
      <c r="AK52" s="342"/>
      <c r="AL52" s="212">
        <f t="shared" si="3"/>
        <v>0</v>
      </c>
      <c r="AM52" s="145">
        <f t="shared" si="4"/>
        <v>4</v>
      </c>
    </row>
    <row r="53" spans="1:39" ht="15.75" customHeight="1" x14ac:dyDescent="0.3">
      <c r="A53" s="28">
        <v>50</v>
      </c>
      <c r="B53" s="134" t="s">
        <v>58</v>
      </c>
      <c r="C53" s="25">
        <v>50</v>
      </c>
      <c r="D53" s="197">
        <v>200</v>
      </c>
      <c r="E53" s="4">
        <v>200</v>
      </c>
      <c r="F53" s="25">
        <f t="shared" si="5"/>
        <v>50</v>
      </c>
      <c r="G53" s="321"/>
      <c r="H53" s="205"/>
      <c r="I53" s="205"/>
      <c r="J53" s="301"/>
      <c r="K53" s="206"/>
      <c r="L53" s="205"/>
      <c r="M53" s="207"/>
      <c r="N53" s="446"/>
      <c r="O53" s="262"/>
      <c r="P53" s="407"/>
      <c r="Q53" s="223"/>
      <c r="R53" s="218"/>
      <c r="S53" s="226"/>
      <c r="T53" s="437"/>
      <c r="U53" s="226"/>
      <c r="V53" s="226"/>
      <c r="W53" s="299"/>
      <c r="X53" s="226"/>
      <c r="Y53" s="225"/>
      <c r="Z53" s="264"/>
      <c r="AA53" s="437"/>
      <c r="AB53" s="226"/>
      <c r="AC53" s="226"/>
      <c r="AD53" s="219"/>
      <c r="AE53" s="226"/>
      <c r="AF53" s="218"/>
      <c r="AG53" s="226"/>
      <c r="AH53" s="226"/>
      <c r="AI53" s="226"/>
      <c r="AJ53" s="226"/>
      <c r="AK53" s="342"/>
      <c r="AL53" s="212">
        <f t="shared" si="3"/>
        <v>0</v>
      </c>
      <c r="AM53" s="145">
        <f t="shared" si="4"/>
        <v>200</v>
      </c>
    </row>
    <row r="54" spans="1:39" ht="15.75" customHeight="1" x14ac:dyDescent="0.3">
      <c r="A54" s="28">
        <v>51</v>
      </c>
      <c r="B54" s="134" t="s">
        <v>59</v>
      </c>
      <c r="C54" s="25">
        <v>4</v>
      </c>
      <c r="D54" s="197">
        <v>5</v>
      </c>
      <c r="E54" s="4">
        <v>4</v>
      </c>
      <c r="F54" s="25">
        <f t="shared" si="5"/>
        <v>1</v>
      </c>
      <c r="G54" s="321"/>
      <c r="H54" s="205"/>
      <c r="I54" s="205"/>
      <c r="J54" s="205"/>
      <c r="K54" s="206"/>
      <c r="L54" s="205"/>
      <c r="M54" s="205"/>
      <c r="N54" s="446"/>
      <c r="O54" s="262"/>
      <c r="P54" s="393"/>
      <c r="Q54" s="218"/>
      <c r="R54" s="218"/>
      <c r="S54" s="226"/>
      <c r="T54" s="437"/>
      <c r="U54" s="226"/>
      <c r="V54" s="226"/>
      <c r="W54" s="421"/>
      <c r="X54" s="226"/>
      <c r="Y54" s="218"/>
      <c r="Z54" s="264"/>
      <c r="AA54" s="437"/>
      <c r="AB54" s="226"/>
      <c r="AC54" s="226"/>
      <c r="AD54" s="219"/>
      <c r="AE54" s="226"/>
      <c r="AF54" s="218"/>
      <c r="AG54" s="226"/>
      <c r="AH54" s="226"/>
      <c r="AI54" s="226"/>
      <c r="AJ54" s="226"/>
      <c r="AK54" s="342"/>
      <c r="AL54" s="212">
        <f t="shared" si="3"/>
        <v>0</v>
      </c>
      <c r="AM54" s="145">
        <f t="shared" si="4"/>
        <v>4</v>
      </c>
    </row>
    <row r="55" spans="1:39" ht="15.75" customHeight="1" x14ac:dyDescent="0.3">
      <c r="A55" s="28">
        <v>52</v>
      </c>
      <c r="B55" s="134" t="s">
        <v>60</v>
      </c>
      <c r="C55" s="25">
        <v>8</v>
      </c>
      <c r="D55" s="197">
        <v>30</v>
      </c>
      <c r="E55" s="4">
        <v>20</v>
      </c>
      <c r="F55" s="25">
        <f t="shared" si="5"/>
        <v>5</v>
      </c>
      <c r="G55" s="321"/>
      <c r="H55" s="205"/>
      <c r="I55" s="205"/>
      <c r="J55" s="301"/>
      <c r="K55" s="206"/>
      <c r="L55" s="205"/>
      <c r="M55" s="207"/>
      <c r="N55" s="446"/>
      <c r="O55" s="262"/>
      <c r="P55" s="393"/>
      <c r="Q55" s="218"/>
      <c r="R55" s="300"/>
      <c r="S55" s="266"/>
      <c r="T55" s="437"/>
      <c r="U55" s="226"/>
      <c r="V55" s="226"/>
      <c r="W55" s="417"/>
      <c r="X55" s="226"/>
      <c r="Y55" s="218"/>
      <c r="Z55" s="264"/>
      <c r="AA55" s="437"/>
      <c r="AB55" s="226"/>
      <c r="AC55" s="226"/>
      <c r="AD55" s="219"/>
      <c r="AE55" s="226"/>
      <c r="AF55" s="218"/>
      <c r="AG55" s="226"/>
      <c r="AH55" s="226"/>
      <c r="AI55" s="226"/>
      <c r="AJ55" s="226"/>
      <c r="AK55" s="342"/>
      <c r="AL55" s="212">
        <f t="shared" si="3"/>
        <v>0</v>
      </c>
      <c r="AM55" s="145">
        <f t="shared" si="4"/>
        <v>20</v>
      </c>
    </row>
    <row r="56" spans="1:39" ht="15.75" customHeight="1" x14ac:dyDescent="0.3">
      <c r="A56" s="28">
        <v>53</v>
      </c>
      <c r="B56" s="134" t="s">
        <v>61</v>
      </c>
      <c r="C56" s="25">
        <v>8</v>
      </c>
      <c r="D56" s="197">
        <v>30</v>
      </c>
      <c r="E56" s="4">
        <v>20</v>
      </c>
      <c r="F56" s="25">
        <f t="shared" si="5"/>
        <v>5</v>
      </c>
      <c r="G56" s="321"/>
      <c r="H56" s="205"/>
      <c r="I56" s="205"/>
      <c r="J56" s="205"/>
      <c r="K56" s="302"/>
      <c r="L56" s="205"/>
      <c r="M56" s="207"/>
      <c r="N56" s="446"/>
      <c r="O56" s="262"/>
      <c r="P56" s="393"/>
      <c r="Q56" s="218"/>
      <c r="R56" s="300"/>
      <c r="S56" s="266"/>
      <c r="T56" s="437"/>
      <c r="U56" s="226"/>
      <c r="V56" s="226"/>
      <c r="W56" s="417"/>
      <c r="X56" s="226"/>
      <c r="Y56" s="218"/>
      <c r="Z56" s="264"/>
      <c r="AA56" s="437"/>
      <c r="AB56" s="226"/>
      <c r="AC56" s="226"/>
      <c r="AD56" s="219"/>
      <c r="AE56" s="226"/>
      <c r="AF56" s="218"/>
      <c r="AG56" s="226"/>
      <c r="AH56" s="226"/>
      <c r="AI56" s="226"/>
      <c r="AJ56" s="226"/>
      <c r="AK56" s="342"/>
      <c r="AL56" s="212">
        <f t="shared" si="3"/>
        <v>0</v>
      </c>
      <c r="AM56" s="145">
        <f t="shared" si="4"/>
        <v>20</v>
      </c>
    </row>
    <row r="57" spans="1:39" ht="17.399999999999999" customHeight="1" x14ac:dyDescent="0.3">
      <c r="A57" s="28">
        <v>54</v>
      </c>
      <c r="B57" s="134" t="s">
        <v>62</v>
      </c>
      <c r="C57" s="25">
        <v>9</v>
      </c>
      <c r="D57" s="197">
        <v>50</v>
      </c>
      <c r="E57" s="4">
        <v>20</v>
      </c>
      <c r="F57" s="25">
        <f t="shared" si="5"/>
        <v>5</v>
      </c>
      <c r="G57" s="321"/>
      <c r="H57" s="205"/>
      <c r="I57" s="205"/>
      <c r="J57" s="301"/>
      <c r="K57" s="206"/>
      <c r="L57" s="205"/>
      <c r="M57" s="205"/>
      <c r="N57" s="446"/>
      <c r="O57" s="262"/>
      <c r="P57" s="393"/>
      <c r="Q57" s="218"/>
      <c r="R57" s="358"/>
      <c r="S57" s="226"/>
      <c r="T57" s="437"/>
      <c r="U57" s="226"/>
      <c r="V57" s="226"/>
      <c r="W57" s="417"/>
      <c r="X57" s="226"/>
      <c r="Y57" s="218"/>
      <c r="Z57" s="264"/>
      <c r="AA57" s="437"/>
      <c r="AB57" s="226"/>
      <c r="AC57" s="226"/>
      <c r="AD57" s="219"/>
      <c r="AE57" s="226"/>
      <c r="AF57" s="218"/>
      <c r="AG57" s="226"/>
      <c r="AH57" s="226"/>
      <c r="AI57" s="226"/>
      <c r="AJ57" s="226"/>
      <c r="AK57" s="342"/>
      <c r="AL57" s="212">
        <f t="shared" si="3"/>
        <v>0</v>
      </c>
      <c r="AM57" s="145">
        <f t="shared" si="4"/>
        <v>20</v>
      </c>
    </row>
    <row r="58" spans="1:39" ht="15.75" customHeight="1" x14ac:dyDescent="0.3">
      <c r="A58" s="28">
        <v>55</v>
      </c>
      <c r="B58" s="134" t="s">
        <v>63</v>
      </c>
      <c r="C58" s="25">
        <v>8</v>
      </c>
      <c r="D58" s="197">
        <v>20</v>
      </c>
      <c r="E58" s="4">
        <v>20</v>
      </c>
      <c r="F58" s="25">
        <f t="shared" si="5"/>
        <v>5</v>
      </c>
      <c r="G58" s="321"/>
      <c r="H58" s="205"/>
      <c r="I58" s="205"/>
      <c r="J58" s="209"/>
      <c r="K58" s="303"/>
      <c r="L58" s="205"/>
      <c r="M58" s="205"/>
      <c r="N58" s="446"/>
      <c r="O58" s="262"/>
      <c r="P58" s="393"/>
      <c r="Q58" s="218"/>
      <c r="R58" s="218"/>
      <c r="S58" s="266"/>
      <c r="T58" s="437"/>
      <c r="U58" s="226"/>
      <c r="V58" s="226"/>
      <c r="W58" s="417"/>
      <c r="X58" s="226"/>
      <c r="Y58" s="218"/>
      <c r="Z58" s="264"/>
      <c r="AA58" s="437"/>
      <c r="AB58" s="226"/>
      <c r="AC58" s="226"/>
      <c r="AD58" s="219"/>
      <c r="AE58" s="226"/>
      <c r="AF58" s="218"/>
      <c r="AG58" s="226"/>
      <c r="AH58" s="226"/>
      <c r="AI58" s="226"/>
      <c r="AJ58" s="226"/>
      <c r="AK58" s="342"/>
      <c r="AL58" s="212">
        <f t="shared" si="3"/>
        <v>0</v>
      </c>
      <c r="AM58" s="145">
        <f t="shared" si="4"/>
        <v>20</v>
      </c>
    </row>
    <row r="59" spans="1:39" ht="15.75" customHeight="1" x14ac:dyDescent="0.3">
      <c r="A59" s="28">
        <v>56</v>
      </c>
      <c r="B59" s="134" t="s">
        <v>64</v>
      </c>
      <c r="C59" s="25">
        <v>12</v>
      </c>
      <c r="D59" s="197">
        <v>30</v>
      </c>
      <c r="E59" s="4">
        <v>20</v>
      </c>
      <c r="F59" s="25">
        <f t="shared" si="5"/>
        <v>5</v>
      </c>
      <c r="G59" s="321"/>
      <c r="H59" s="205"/>
      <c r="I59" s="205"/>
      <c r="J59" s="209"/>
      <c r="K59" s="302"/>
      <c r="L59" s="205"/>
      <c r="M59" s="205"/>
      <c r="N59" s="446"/>
      <c r="O59" s="262"/>
      <c r="P59" s="393"/>
      <c r="Q59" s="218"/>
      <c r="R59" s="218"/>
      <c r="S59" s="266"/>
      <c r="T59" s="437"/>
      <c r="U59" s="226"/>
      <c r="V59" s="226"/>
      <c r="W59" s="417"/>
      <c r="X59" s="226"/>
      <c r="Y59" s="218"/>
      <c r="Z59" s="264"/>
      <c r="AA59" s="437"/>
      <c r="AB59" s="226"/>
      <c r="AC59" s="226"/>
      <c r="AD59" s="219"/>
      <c r="AE59" s="226"/>
      <c r="AF59" s="218"/>
      <c r="AG59" s="226"/>
      <c r="AH59" s="226"/>
      <c r="AI59" s="226"/>
      <c r="AJ59" s="226"/>
      <c r="AK59" s="342"/>
      <c r="AL59" s="212">
        <f t="shared" si="3"/>
        <v>0</v>
      </c>
      <c r="AM59" s="145">
        <f t="shared" si="4"/>
        <v>20</v>
      </c>
    </row>
    <row r="60" spans="1:39" ht="15.75" customHeight="1" x14ac:dyDescent="0.3">
      <c r="A60" s="28">
        <v>57</v>
      </c>
      <c r="B60" s="134" t="s">
        <v>65</v>
      </c>
      <c r="C60" s="25">
        <v>16</v>
      </c>
      <c r="D60" s="197">
        <v>50</v>
      </c>
      <c r="E60" s="4">
        <v>20</v>
      </c>
      <c r="F60" s="25">
        <f t="shared" si="5"/>
        <v>5</v>
      </c>
      <c r="G60" s="321"/>
      <c r="H60" s="205"/>
      <c r="I60" s="205"/>
      <c r="J60" s="209"/>
      <c r="K60" s="302"/>
      <c r="L60" s="205"/>
      <c r="M60" s="205"/>
      <c r="N60" s="446"/>
      <c r="O60" s="262"/>
      <c r="P60" s="393"/>
      <c r="Q60" s="218"/>
      <c r="R60" s="411"/>
      <c r="S60" s="266"/>
      <c r="T60" s="437"/>
      <c r="U60" s="226"/>
      <c r="V60" s="226"/>
      <c r="W60" s="296"/>
      <c r="X60" s="226"/>
      <c r="Y60" s="218"/>
      <c r="Z60" s="264"/>
      <c r="AA60" s="437"/>
      <c r="AB60" s="226"/>
      <c r="AC60" s="226"/>
      <c r="AD60" s="219"/>
      <c r="AE60" s="226"/>
      <c r="AF60" s="218"/>
      <c r="AG60" s="226"/>
      <c r="AH60" s="226"/>
      <c r="AI60" s="226"/>
      <c r="AJ60" s="226"/>
      <c r="AK60" s="342"/>
      <c r="AL60" s="212">
        <f t="shared" si="3"/>
        <v>0</v>
      </c>
      <c r="AM60" s="145">
        <f t="shared" si="4"/>
        <v>20</v>
      </c>
    </row>
    <row r="61" spans="1:39" ht="15.75" customHeight="1" x14ac:dyDescent="0.3">
      <c r="A61" s="28">
        <v>58</v>
      </c>
      <c r="B61" s="12" t="s">
        <v>67</v>
      </c>
      <c r="C61" s="25">
        <v>18</v>
      </c>
      <c r="D61" s="197">
        <v>50</v>
      </c>
      <c r="E61" s="4">
        <v>20</v>
      </c>
      <c r="F61" s="25">
        <f t="shared" si="5"/>
        <v>5</v>
      </c>
      <c r="G61" s="321"/>
      <c r="H61" s="205"/>
      <c r="I61" s="205"/>
      <c r="J61" s="209"/>
      <c r="K61" s="302"/>
      <c r="L61" s="205"/>
      <c r="M61" s="205"/>
      <c r="N61" s="446"/>
      <c r="O61" s="262"/>
      <c r="P61" s="393"/>
      <c r="Q61" s="218"/>
      <c r="R61" s="300"/>
      <c r="S61" s="266"/>
      <c r="T61" s="437"/>
      <c r="U61" s="226"/>
      <c r="V61" s="226"/>
      <c r="W61" s="421"/>
      <c r="X61" s="226"/>
      <c r="Y61" s="218"/>
      <c r="Z61" s="264"/>
      <c r="AA61" s="437"/>
      <c r="AB61" s="226"/>
      <c r="AC61" s="226"/>
      <c r="AD61" s="219"/>
      <c r="AE61" s="226"/>
      <c r="AF61" s="218"/>
      <c r="AG61" s="226"/>
      <c r="AH61" s="226"/>
      <c r="AI61" s="226"/>
      <c r="AJ61" s="226"/>
      <c r="AK61" s="342"/>
      <c r="AL61" s="212">
        <f t="shared" si="3"/>
        <v>0</v>
      </c>
      <c r="AM61" s="145">
        <f t="shared" si="4"/>
        <v>20</v>
      </c>
    </row>
    <row r="62" spans="1:39" ht="15.75" customHeight="1" x14ac:dyDescent="0.3">
      <c r="A62" s="28">
        <v>59</v>
      </c>
      <c r="B62" s="134" t="s">
        <v>68</v>
      </c>
      <c r="C62" s="25">
        <v>16</v>
      </c>
      <c r="D62" s="197">
        <v>40</v>
      </c>
      <c r="E62" s="4">
        <v>28</v>
      </c>
      <c r="F62" s="25">
        <f t="shared" si="5"/>
        <v>7</v>
      </c>
      <c r="G62" s="321"/>
      <c r="H62" s="205"/>
      <c r="I62" s="205"/>
      <c r="J62" s="209"/>
      <c r="K62" s="302"/>
      <c r="L62" s="205"/>
      <c r="M62" s="205"/>
      <c r="N62" s="446"/>
      <c r="O62" s="262"/>
      <c r="P62" s="393"/>
      <c r="Q62" s="218"/>
      <c r="R62" s="411"/>
      <c r="S62" s="266"/>
      <c r="T62" s="437"/>
      <c r="U62" s="226"/>
      <c r="V62" s="226"/>
      <c r="W62" s="421"/>
      <c r="X62" s="411"/>
      <c r="Y62" s="218"/>
      <c r="Z62" s="264"/>
      <c r="AA62" s="437"/>
      <c r="AB62" s="226"/>
      <c r="AC62" s="226"/>
      <c r="AD62" s="219"/>
      <c r="AE62" s="226"/>
      <c r="AF62" s="218"/>
      <c r="AG62" s="226"/>
      <c r="AH62" s="226"/>
      <c r="AI62" s="226"/>
      <c r="AJ62" s="226"/>
      <c r="AK62" s="342"/>
      <c r="AL62" s="212">
        <f t="shared" si="3"/>
        <v>0</v>
      </c>
      <c r="AM62" s="145">
        <f t="shared" si="4"/>
        <v>28</v>
      </c>
    </row>
    <row r="63" spans="1:39" ht="15.75" customHeight="1" thickBot="1" x14ac:dyDescent="0.35">
      <c r="A63" s="28">
        <v>60</v>
      </c>
      <c r="B63" s="136" t="s">
        <v>69</v>
      </c>
      <c r="C63" s="33">
        <v>17</v>
      </c>
      <c r="D63" s="199">
        <v>20</v>
      </c>
      <c r="E63" s="13">
        <v>20</v>
      </c>
      <c r="F63" s="25">
        <f t="shared" si="5"/>
        <v>5</v>
      </c>
      <c r="G63" s="353"/>
      <c r="H63" s="305"/>
      <c r="I63" s="305"/>
      <c r="J63" s="306"/>
      <c r="K63" s="307"/>
      <c r="L63" s="305"/>
      <c r="M63" s="305"/>
      <c r="N63" s="446"/>
      <c r="O63" s="308"/>
      <c r="P63" s="397"/>
      <c r="Q63" s="310"/>
      <c r="R63" s="412"/>
      <c r="S63" s="311"/>
      <c r="T63" s="438"/>
      <c r="U63" s="312"/>
      <c r="V63" s="312"/>
      <c r="W63" s="422"/>
      <c r="X63" s="312"/>
      <c r="Y63" s="310"/>
      <c r="Z63" s="313"/>
      <c r="AA63" s="438"/>
      <c r="AB63" s="312"/>
      <c r="AC63" s="312"/>
      <c r="AD63" s="309"/>
      <c r="AE63" s="312"/>
      <c r="AF63" s="310"/>
      <c r="AG63" s="312"/>
      <c r="AH63" s="312"/>
      <c r="AI63" s="312"/>
      <c r="AJ63" s="312"/>
      <c r="AK63" s="354"/>
      <c r="AL63" s="213">
        <f t="shared" si="3"/>
        <v>0</v>
      </c>
      <c r="AM63" s="145">
        <f t="shared" si="4"/>
        <v>20</v>
      </c>
    </row>
    <row r="64" spans="1:39" ht="15.75" customHeight="1" x14ac:dyDescent="0.25">
      <c r="A64" s="27">
        <v>61</v>
      </c>
      <c r="B64" s="138" t="s">
        <v>71</v>
      </c>
      <c r="C64" s="23">
        <v>3</v>
      </c>
      <c r="D64" s="196">
        <v>5</v>
      </c>
      <c r="E64" s="3">
        <v>6</v>
      </c>
      <c r="F64" s="23">
        <f t="shared" si="5"/>
        <v>1.5</v>
      </c>
      <c r="G64" s="314"/>
      <c r="H64" s="453"/>
      <c r="I64" s="315"/>
      <c r="J64" s="316"/>
      <c r="K64" s="317"/>
      <c r="L64" s="316"/>
      <c r="M64" s="442"/>
      <c r="N64" s="316"/>
      <c r="O64" s="318"/>
      <c r="P64" s="398"/>
      <c r="Q64" s="318"/>
      <c r="R64" s="317"/>
      <c r="S64" s="316"/>
      <c r="T64" s="442"/>
      <c r="U64" s="416"/>
      <c r="V64" s="316"/>
      <c r="W64" s="423"/>
      <c r="X64" s="316"/>
      <c r="Y64" s="317"/>
      <c r="Z64" s="316"/>
      <c r="AA64" s="442"/>
      <c r="AB64" s="316"/>
      <c r="AC64" s="316"/>
      <c r="AD64" s="319"/>
      <c r="AE64" s="316"/>
      <c r="AF64" s="317"/>
      <c r="AG64" s="316"/>
      <c r="AH64" s="316"/>
      <c r="AI64" s="316"/>
      <c r="AJ64" s="316"/>
      <c r="AK64" s="355"/>
      <c r="AL64" s="320">
        <f t="shared" si="3"/>
        <v>0</v>
      </c>
      <c r="AM64" s="144">
        <f t="shared" si="4"/>
        <v>6</v>
      </c>
    </row>
    <row r="65" spans="1:39" ht="15.75" customHeight="1" x14ac:dyDescent="0.3">
      <c r="A65" s="28">
        <v>62</v>
      </c>
      <c r="B65" s="139" t="s">
        <v>72</v>
      </c>
      <c r="C65" s="25">
        <v>12</v>
      </c>
      <c r="D65" s="197">
        <v>20</v>
      </c>
      <c r="E65" s="4">
        <v>12</v>
      </c>
      <c r="F65" s="25">
        <f t="shared" si="5"/>
        <v>3</v>
      </c>
      <c r="G65" s="321"/>
      <c r="H65" s="446"/>
      <c r="I65" s="208"/>
      <c r="J65" s="216"/>
      <c r="K65" s="218"/>
      <c r="L65" s="216"/>
      <c r="M65" s="437"/>
      <c r="N65" s="216"/>
      <c r="O65" s="218"/>
      <c r="P65" s="393"/>
      <c r="Q65" s="218"/>
      <c r="R65" s="218"/>
      <c r="S65" s="216"/>
      <c r="T65" s="437"/>
      <c r="U65" s="216"/>
      <c r="V65" s="216"/>
      <c r="W65" s="421"/>
      <c r="X65" s="216"/>
      <c r="Y65" s="218"/>
      <c r="Z65" s="216"/>
      <c r="AA65" s="437"/>
      <c r="AB65" s="216"/>
      <c r="AC65" s="216"/>
      <c r="AD65" s="219"/>
      <c r="AE65" s="216"/>
      <c r="AF65" s="218"/>
      <c r="AG65" s="216"/>
      <c r="AH65" s="216"/>
      <c r="AI65" s="216"/>
      <c r="AJ65" s="216"/>
      <c r="AK65" s="356"/>
      <c r="AL65" s="322">
        <f t="shared" si="3"/>
        <v>0</v>
      </c>
      <c r="AM65" s="145">
        <f t="shared" si="4"/>
        <v>12</v>
      </c>
    </row>
    <row r="66" spans="1:39" ht="15.75" customHeight="1" x14ac:dyDescent="0.3">
      <c r="A66" s="28">
        <v>63</v>
      </c>
      <c r="B66" s="139" t="s">
        <v>73</v>
      </c>
      <c r="C66" s="25">
        <v>12</v>
      </c>
      <c r="D66" s="197">
        <v>20</v>
      </c>
      <c r="E66" s="4">
        <v>12</v>
      </c>
      <c r="F66" s="25">
        <f t="shared" si="5"/>
        <v>3</v>
      </c>
      <c r="G66" s="321"/>
      <c r="H66" s="446"/>
      <c r="I66" s="208"/>
      <c r="J66" s="216"/>
      <c r="K66" s="218"/>
      <c r="L66" s="216"/>
      <c r="M66" s="437"/>
      <c r="N66" s="216"/>
      <c r="O66" s="218"/>
      <c r="P66" s="393"/>
      <c r="Q66" s="218"/>
      <c r="R66" s="218"/>
      <c r="S66" s="216"/>
      <c r="T66" s="437"/>
      <c r="U66" s="295"/>
      <c r="V66" s="216"/>
      <c r="W66" s="421"/>
      <c r="X66" s="216"/>
      <c r="Y66" s="218"/>
      <c r="Z66" s="216"/>
      <c r="AA66" s="437"/>
      <c r="AB66" s="216"/>
      <c r="AC66" s="216"/>
      <c r="AD66" s="219"/>
      <c r="AE66" s="216"/>
      <c r="AF66" s="218"/>
      <c r="AG66" s="216"/>
      <c r="AH66" s="216"/>
      <c r="AI66" s="216"/>
      <c r="AJ66" s="216"/>
      <c r="AK66" s="356"/>
      <c r="AL66" s="322">
        <f t="shared" si="3"/>
        <v>0</v>
      </c>
      <c r="AM66" s="145">
        <f t="shared" si="4"/>
        <v>12</v>
      </c>
    </row>
    <row r="67" spans="1:39" ht="15.75" customHeight="1" x14ac:dyDescent="0.3">
      <c r="A67" s="28">
        <v>64</v>
      </c>
      <c r="B67" s="139" t="s">
        <v>74</v>
      </c>
      <c r="C67" s="25">
        <v>8</v>
      </c>
      <c r="D67" s="197">
        <v>20</v>
      </c>
      <c r="E67" s="4">
        <v>12</v>
      </c>
      <c r="F67" s="25">
        <f t="shared" si="5"/>
        <v>3</v>
      </c>
      <c r="G67" s="321"/>
      <c r="H67" s="446"/>
      <c r="I67" s="208"/>
      <c r="J67" s="295"/>
      <c r="K67" s="269"/>
      <c r="L67" s="216"/>
      <c r="M67" s="437"/>
      <c r="N67" s="217"/>
      <c r="O67" s="218"/>
      <c r="P67" s="393"/>
      <c r="Q67" s="218"/>
      <c r="R67" s="218"/>
      <c r="S67" s="216"/>
      <c r="T67" s="437"/>
      <c r="U67" s="216"/>
      <c r="V67" s="216"/>
      <c r="W67" s="421"/>
      <c r="X67" s="216"/>
      <c r="Y67" s="218"/>
      <c r="Z67" s="216"/>
      <c r="AA67" s="437"/>
      <c r="AB67" s="216"/>
      <c r="AC67" s="216"/>
      <c r="AD67" s="219"/>
      <c r="AE67" s="216"/>
      <c r="AF67" s="218"/>
      <c r="AG67" s="216"/>
      <c r="AH67" s="216"/>
      <c r="AI67" s="216"/>
      <c r="AJ67" s="216"/>
      <c r="AK67" s="356"/>
      <c r="AL67" s="322">
        <f t="shared" si="3"/>
        <v>0</v>
      </c>
      <c r="AM67" s="145">
        <f t="shared" si="4"/>
        <v>12</v>
      </c>
    </row>
    <row r="68" spans="1:39" ht="15.75" customHeight="1" x14ac:dyDescent="0.3">
      <c r="A68" s="28">
        <v>65</v>
      </c>
      <c r="B68" s="139" t="s">
        <v>75</v>
      </c>
      <c r="C68" s="25">
        <v>8</v>
      </c>
      <c r="D68" s="197">
        <v>30</v>
      </c>
      <c r="E68" s="4">
        <v>8</v>
      </c>
      <c r="F68" s="25">
        <f t="shared" si="5"/>
        <v>2</v>
      </c>
      <c r="G68" s="321"/>
      <c r="H68" s="446"/>
      <c r="I68" s="208"/>
      <c r="J68" s="216"/>
      <c r="K68" s="218"/>
      <c r="L68" s="216"/>
      <c r="M68" s="437"/>
      <c r="N68" s="216"/>
      <c r="O68" s="218"/>
      <c r="P68" s="393"/>
      <c r="Q68" s="218"/>
      <c r="R68" s="218"/>
      <c r="S68" s="216"/>
      <c r="T68" s="437"/>
      <c r="U68" s="216"/>
      <c r="V68" s="216"/>
      <c r="W68" s="421"/>
      <c r="X68" s="216"/>
      <c r="Y68" s="218"/>
      <c r="Z68" s="216"/>
      <c r="AA68" s="437"/>
      <c r="AB68" s="216"/>
      <c r="AC68" s="216"/>
      <c r="AD68" s="219"/>
      <c r="AE68" s="216"/>
      <c r="AF68" s="218"/>
      <c r="AG68" s="216"/>
      <c r="AH68" s="216"/>
      <c r="AI68" s="216"/>
      <c r="AJ68" s="216"/>
      <c r="AK68" s="356"/>
      <c r="AL68" s="322">
        <f t="shared" ref="AL68:AL99" si="6">SUM(G68:AK68)</f>
        <v>0</v>
      </c>
      <c r="AM68" s="145">
        <f t="shared" ref="AM68:AM99" si="7">E68-AL68</f>
        <v>8</v>
      </c>
    </row>
    <row r="69" spans="1:39" ht="15.75" customHeight="1" x14ac:dyDescent="0.3">
      <c r="A69" s="28">
        <v>66</v>
      </c>
      <c r="B69" s="139" t="s">
        <v>76</v>
      </c>
      <c r="C69" s="25">
        <v>114</v>
      </c>
      <c r="D69" s="197"/>
      <c r="E69" s="4">
        <v>260</v>
      </c>
      <c r="F69" s="25">
        <f t="shared" si="5"/>
        <v>65</v>
      </c>
      <c r="G69" s="323"/>
      <c r="H69" s="446"/>
      <c r="I69" s="268"/>
      <c r="J69" s="216"/>
      <c r="K69" s="300"/>
      <c r="L69" s="216"/>
      <c r="M69" s="437"/>
      <c r="N69" s="216"/>
      <c r="O69" s="218"/>
      <c r="P69" s="393"/>
      <c r="Q69" s="218"/>
      <c r="R69" s="218"/>
      <c r="S69" s="216"/>
      <c r="T69" s="437"/>
      <c r="U69" s="216"/>
      <c r="V69" s="216"/>
      <c r="W69" s="421"/>
      <c r="X69" s="216"/>
      <c r="Y69" s="225"/>
      <c r="Z69" s="216"/>
      <c r="AA69" s="437"/>
      <c r="AB69" s="216"/>
      <c r="AC69" s="216"/>
      <c r="AD69" s="219"/>
      <c r="AE69" s="216"/>
      <c r="AF69" s="218"/>
      <c r="AG69" s="216"/>
      <c r="AH69" s="216"/>
      <c r="AI69" s="216"/>
      <c r="AJ69" s="216"/>
      <c r="AK69" s="356"/>
      <c r="AL69" s="322">
        <f t="shared" si="6"/>
        <v>0</v>
      </c>
      <c r="AM69" s="145">
        <f t="shared" si="7"/>
        <v>260</v>
      </c>
    </row>
    <row r="70" spans="1:39" ht="15.75" customHeight="1" x14ac:dyDescent="0.3">
      <c r="A70" s="28">
        <v>67</v>
      </c>
      <c r="B70" s="139" t="s">
        <v>77</v>
      </c>
      <c r="C70" s="25">
        <v>50</v>
      </c>
      <c r="D70" s="197"/>
      <c r="E70" s="4">
        <v>250</v>
      </c>
      <c r="F70" s="25">
        <f t="shared" si="5"/>
        <v>62.5</v>
      </c>
      <c r="G70" s="321"/>
      <c r="H70" s="446"/>
      <c r="I70" s="268"/>
      <c r="J70" s="295"/>
      <c r="K70" s="223"/>
      <c r="L70" s="295"/>
      <c r="M70" s="437"/>
      <c r="N70" s="216"/>
      <c r="O70" s="218"/>
      <c r="P70" s="393"/>
      <c r="Q70" s="409"/>
      <c r="R70" s="300"/>
      <c r="S70" s="216"/>
      <c r="T70" s="437"/>
      <c r="U70" s="216"/>
      <c r="V70" s="216"/>
      <c r="W70" s="417"/>
      <c r="X70" s="216"/>
      <c r="Y70" s="218"/>
      <c r="Z70" s="295"/>
      <c r="AA70" s="437"/>
      <c r="AB70" s="216"/>
      <c r="AC70" s="216"/>
      <c r="AD70" s="219"/>
      <c r="AE70" s="216"/>
      <c r="AF70" s="225"/>
      <c r="AG70" s="216"/>
      <c r="AH70" s="216"/>
      <c r="AI70" s="216"/>
      <c r="AJ70" s="216"/>
      <c r="AK70" s="356"/>
      <c r="AL70" s="322">
        <f t="shared" si="6"/>
        <v>0</v>
      </c>
      <c r="AM70" s="145">
        <f t="shared" si="7"/>
        <v>250</v>
      </c>
    </row>
    <row r="71" spans="1:39" ht="15.75" customHeight="1" x14ac:dyDescent="0.3">
      <c r="A71" s="28">
        <v>68</v>
      </c>
      <c r="B71" s="139" t="s">
        <v>78</v>
      </c>
      <c r="C71" s="25">
        <v>87</v>
      </c>
      <c r="D71" s="197">
        <v>60</v>
      </c>
      <c r="E71" s="4">
        <v>30</v>
      </c>
      <c r="F71" s="25">
        <f t="shared" si="5"/>
        <v>7.5</v>
      </c>
      <c r="G71" s="321"/>
      <c r="H71" s="446"/>
      <c r="I71" s="208"/>
      <c r="J71" s="216"/>
      <c r="K71" s="358"/>
      <c r="L71" s="216"/>
      <c r="M71" s="437"/>
      <c r="N71" s="216"/>
      <c r="O71" s="218"/>
      <c r="P71" s="393"/>
      <c r="Q71" s="218"/>
      <c r="R71" s="218"/>
      <c r="S71" s="216"/>
      <c r="T71" s="437"/>
      <c r="U71" s="216"/>
      <c r="V71" s="216"/>
      <c r="W71" s="421"/>
      <c r="X71" s="216"/>
      <c r="Y71" s="218"/>
      <c r="Z71" s="216"/>
      <c r="AA71" s="437"/>
      <c r="AB71" s="216"/>
      <c r="AC71" s="216"/>
      <c r="AD71" s="219"/>
      <c r="AE71" s="216"/>
      <c r="AF71" s="218"/>
      <c r="AG71" s="216"/>
      <c r="AH71" s="216"/>
      <c r="AI71" s="216"/>
      <c r="AJ71" s="216"/>
      <c r="AK71" s="356"/>
      <c r="AL71" s="322">
        <f t="shared" si="6"/>
        <v>0</v>
      </c>
      <c r="AM71" s="145">
        <f t="shared" si="7"/>
        <v>30</v>
      </c>
    </row>
    <row r="72" spans="1:39" ht="15.75" customHeight="1" x14ac:dyDescent="0.3">
      <c r="A72" s="28">
        <v>69</v>
      </c>
      <c r="B72" s="140" t="s">
        <v>80</v>
      </c>
      <c r="C72" s="32"/>
      <c r="D72" s="200"/>
      <c r="E72" s="9">
        <v>87</v>
      </c>
      <c r="F72" s="25">
        <f t="shared" si="5"/>
        <v>21.75</v>
      </c>
      <c r="G72" s="321"/>
      <c r="H72" s="446"/>
      <c r="I72" s="208"/>
      <c r="J72" s="216"/>
      <c r="K72" s="225"/>
      <c r="L72" s="216"/>
      <c r="M72" s="437"/>
      <c r="N72" s="216"/>
      <c r="O72" s="218"/>
      <c r="P72" s="393"/>
      <c r="Q72" s="408"/>
      <c r="R72" s="218"/>
      <c r="S72" s="216"/>
      <c r="T72" s="437"/>
      <c r="U72" s="216"/>
      <c r="V72" s="295"/>
      <c r="W72" s="421"/>
      <c r="X72" s="216"/>
      <c r="Y72" s="218"/>
      <c r="Z72" s="216"/>
      <c r="AA72" s="437"/>
      <c r="AB72" s="216"/>
      <c r="AC72" s="216"/>
      <c r="AD72" s="219"/>
      <c r="AE72" s="216"/>
      <c r="AF72" s="218"/>
      <c r="AG72" s="216"/>
      <c r="AH72" s="216"/>
      <c r="AI72" s="216"/>
      <c r="AJ72" s="216"/>
      <c r="AK72" s="356"/>
      <c r="AL72" s="322">
        <f t="shared" si="6"/>
        <v>0</v>
      </c>
      <c r="AM72" s="145">
        <f t="shared" si="7"/>
        <v>87</v>
      </c>
    </row>
    <row r="73" spans="1:39" ht="15.75" customHeight="1" x14ac:dyDescent="0.3">
      <c r="A73" s="28">
        <v>70</v>
      </c>
      <c r="B73" s="139" t="s">
        <v>81</v>
      </c>
      <c r="C73" s="25">
        <v>26</v>
      </c>
      <c r="D73" s="197">
        <v>100</v>
      </c>
      <c r="E73" s="4">
        <v>40</v>
      </c>
      <c r="F73" s="25">
        <f t="shared" si="5"/>
        <v>10</v>
      </c>
      <c r="G73" s="321"/>
      <c r="H73" s="446"/>
      <c r="I73" s="268"/>
      <c r="J73" s="216"/>
      <c r="K73" s="300"/>
      <c r="L73" s="216"/>
      <c r="M73" s="437"/>
      <c r="N73" s="217"/>
      <c r="O73" s="218"/>
      <c r="P73" s="393"/>
      <c r="Q73" s="218"/>
      <c r="R73" s="223"/>
      <c r="S73" s="216"/>
      <c r="T73" s="437"/>
      <c r="U73" s="216"/>
      <c r="V73" s="216"/>
      <c r="W73" s="421"/>
      <c r="X73" s="216"/>
      <c r="Y73" s="411"/>
      <c r="Z73" s="216"/>
      <c r="AA73" s="437"/>
      <c r="AB73" s="216"/>
      <c r="AC73" s="216"/>
      <c r="AD73" s="219"/>
      <c r="AE73" s="216"/>
      <c r="AF73" s="218"/>
      <c r="AG73" s="216"/>
      <c r="AH73" s="216"/>
      <c r="AI73" s="216"/>
      <c r="AJ73" s="216"/>
      <c r="AK73" s="356"/>
      <c r="AL73" s="322">
        <f t="shared" si="6"/>
        <v>0</v>
      </c>
      <c r="AM73" s="145">
        <f t="shared" si="7"/>
        <v>40</v>
      </c>
    </row>
    <row r="74" spans="1:39" ht="15.75" customHeight="1" x14ac:dyDescent="0.3">
      <c r="A74" s="28">
        <v>71</v>
      </c>
      <c r="B74" s="139" t="s">
        <v>82</v>
      </c>
      <c r="C74" s="25">
        <v>52</v>
      </c>
      <c r="D74" s="197">
        <v>400</v>
      </c>
      <c r="E74" s="4">
        <v>80</v>
      </c>
      <c r="F74" s="25">
        <f t="shared" si="5"/>
        <v>20</v>
      </c>
      <c r="G74" s="321"/>
      <c r="H74" s="446"/>
      <c r="I74" s="297"/>
      <c r="J74" s="216"/>
      <c r="K74" s="225"/>
      <c r="L74" s="295"/>
      <c r="M74" s="437"/>
      <c r="N74" s="217"/>
      <c r="O74" s="218"/>
      <c r="P74" s="393"/>
      <c r="Q74" s="218"/>
      <c r="R74" s="223"/>
      <c r="S74" s="216"/>
      <c r="T74" s="437"/>
      <c r="U74" s="216"/>
      <c r="V74" s="216"/>
      <c r="W74" s="299"/>
      <c r="X74" s="216"/>
      <c r="Y74" s="225"/>
      <c r="Z74" s="216"/>
      <c r="AA74" s="437"/>
      <c r="AB74" s="216"/>
      <c r="AC74" s="216"/>
      <c r="AD74" s="219"/>
      <c r="AE74" s="216"/>
      <c r="AF74" s="225"/>
      <c r="AG74" s="216"/>
      <c r="AH74" s="216"/>
      <c r="AI74" s="216"/>
      <c r="AJ74" s="216"/>
      <c r="AK74" s="356"/>
      <c r="AL74" s="322">
        <f t="shared" si="6"/>
        <v>0</v>
      </c>
      <c r="AM74" s="145">
        <f t="shared" si="7"/>
        <v>80</v>
      </c>
    </row>
    <row r="75" spans="1:39" ht="15.75" customHeight="1" x14ac:dyDescent="0.3">
      <c r="A75" s="28">
        <v>72</v>
      </c>
      <c r="B75" s="139" t="s">
        <v>83</v>
      </c>
      <c r="C75" s="25">
        <v>10</v>
      </c>
      <c r="D75" s="197">
        <v>10</v>
      </c>
      <c r="E75" s="4">
        <v>4</v>
      </c>
      <c r="F75" s="25">
        <f t="shared" si="5"/>
        <v>1</v>
      </c>
      <c r="G75" s="321"/>
      <c r="H75" s="446"/>
      <c r="I75" s="208"/>
      <c r="J75" s="216"/>
      <c r="K75" s="225"/>
      <c r="L75" s="216"/>
      <c r="M75" s="437"/>
      <c r="N75" s="216"/>
      <c r="O75" s="218"/>
      <c r="P75" s="393"/>
      <c r="Q75" s="218"/>
      <c r="R75" s="218"/>
      <c r="S75" s="216"/>
      <c r="T75" s="437"/>
      <c r="U75" s="216"/>
      <c r="V75" s="216"/>
      <c r="W75" s="421"/>
      <c r="X75" s="216"/>
      <c r="Y75" s="218"/>
      <c r="Z75" s="216"/>
      <c r="AA75" s="437"/>
      <c r="AB75" s="216"/>
      <c r="AC75" s="216"/>
      <c r="AD75" s="219"/>
      <c r="AE75" s="216"/>
      <c r="AF75" s="218"/>
      <c r="AG75" s="216"/>
      <c r="AH75" s="216"/>
      <c r="AI75" s="216"/>
      <c r="AJ75" s="216"/>
      <c r="AK75" s="356"/>
      <c r="AL75" s="322">
        <f t="shared" si="6"/>
        <v>0</v>
      </c>
      <c r="AM75" s="145">
        <f t="shared" si="7"/>
        <v>4</v>
      </c>
    </row>
    <row r="76" spans="1:39" ht="15.75" customHeight="1" x14ac:dyDescent="0.3">
      <c r="A76" s="28">
        <v>73</v>
      </c>
      <c r="B76" s="139" t="s">
        <v>84</v>
      </c>
      <c r="C76" s="25"/>
      <c r="D76" s="197">
        <v>5</v>
      </c>
      <c r="E76" s="4">
        <v>4</v>
      </c>
      <c r="F76" s="25">
        <f t="shared" si="5"/>
        <v>1</v>
      </c>
      <c r="G76" s="321"/>
      <c r="H76" s="446"/>
      <c r="I76" s="297"/>
      <c r="J76" s="216"/>
      <c r="K76" s="225"/>
      <c r="L76" s="216"/>
      <c r="M76" s="437"/>
      <c r="N76" s="216"/>
      <c r="O76" s="218"/>
      <c r="P76" s="393"/>
      <c r="Q76" s="218"/>
      <c r="R76" s="223"/>
      <c r="S76" s="216"/>
      <c r="T76" s="437"/>
      <c r="U76" s="216"/>
      <c r="V76" s="216"/>
      <c r="W76" s="421"/>
      <c r="X76" s="216"/>
      <c r="Y76" s="218"/>
      <c r="Z76" s="216"/>
      <c r="AA76" s="437"/>
      <c r="AB76" s="216"/>
      <c r="AC76" s="216"/>
      <c r="AD76" s="219"/>
      <c r="AE76" s="216"/>
      <c r="AF76" s="226"/>
      <c r="AG76" s="216"/>
      <c r="AH76" s="216"/>
      <c r="AI76" s="216"/>
      <c r="AJ76" s="216"/>
      <c r="AK76" s="356"/>
      <c r="AL76" s="322">
        <f t="shared" si="6"/>
        <v>0</v>
      </c>
      <c r="AM76" s="145">
        <f t="shared" si="7"/>
        <v>4</v>
      </c>
    </row>
    <row r="77" spans="1:39" ht="15.75" customHeight="1" x14ac:dyDescent="0.3">
      <c r="A77" s="28">
        <v>74</v>
      </c>
      <c r="B77" s="139" t="s">
        <v>85</v>
      </c>
      <c r="C77" s="25">
        <v>50</v>
      </c>
      <c r="D77" s="197">
        <v>300</v>
      </c>
      <c r="E77" s="4">
        <v>200</v>
      </c>
      <c r="F77" s="25">
        <f t="shared" si="5"/>
        <v>50</v>
      </c>
      <c r="G77" s="323"/>
      <c r="H77" s="446"/>
      <c r="I77" s="208"/>
      <c r="J77" s="295"/>
      <c r="K77" s="223"/>
      <c r="L77" s="295"/>
      <c r="M77" s="437"/>
      <c r="N77" s="216"/>
      <c r="O77" s="218"/>
      <c r="P77" s="393"/>
      <c r="Q77" s="223"/>
      <c r="R77" s="225"/>
      <c r="S77" s="216"/>
      <c r="T77" s="437"/>
      <c r="U77" s="216"/>
      <c r="V77" s="216"/>
      <c r="W77" s="421"/>
      <c r="X77" s="216"/>
      <c r="Y77" s="218"/>
      <c r="Z77" s="216"/>
      <c r="AA77" s="437"/>
      <c r="AB77" s="216"/>
      <c r="AC77" s="216"/>
      <c r="AD77" s="219"/>
      <c r="AE77" s="216"/>
      <c r="AF77" s="218"/>
      <c r="AG77" s="216"/>
      <c r="AH77" s="216"/>
      <c r="AI77" s="216"/>
      <c r="AJ77" s="216"/>
      <c r="AK77" s="356"/>
      <c r="AL77" s="322">
        <f t="shared" si="6"/>
        <v>0</v>
      </c>
      <c r="AM77" s="145">
        <f t="shared" si="7"/>
        <v>200</v>
      </c>
    </row>
    <row r="78" spans="1:39" ht="15.75" customHeight="1" x14ac:dyDescent="0.3">
      <c r="A78" s="28">
        <v>75</v>
      </c>
      <c r="B78" s="141" t="s">
        <v>86</v>
      </c>
      <c r="C78" s="33"/>
      <c r="D78" s="199"/>
      <c r="E78" s="13">
        <v>2</v>
      </c>
      <c r="F78" s="33">
        <f t="shared" si="5"/>
        <v>0.5</v>
      </c>
      <c r="G78" s="321"/>
      <c r="H78" s="446"/>
      <c r="I78" s="208"/>
      <c r="J78" s="216"/>
      <c r="K78" s="218"/>
      <c r="L78" s="216"/>
      <c r="M78" s="437"/>
      <c r="N78" s="216"/>
      <c r="O78" s="218"/>
      <c r="P78" s="393"/>
      <c r="Q78" s="218"/>
      <c r="R78" s="218"/>
      <c r="S78" s="216"/>
      <c r="T78" s="437"/>
      <c r="U78" s="216"/>
      <c r="V78" s="216"/>
      <c r="W78" s="421"/>
      <c r="X78" s="216"/>
      <c r="Y78" s="218"/>
      <c r="Z78" s="216"/>
      <c r="AA78" s="437"/>
      <c r="AB78" s="216"/>
      <c r="AC78" s="216"/>
      <c r="AD78" s="219"/>
      <c r="AE78" s="216"/>
      <c r="AF78" s="218"/>
      <c r="AG78" s="216"/>
      <c r="AH78" s="216"/>
      <c r="AI78" s="216"/>
      <c r="AJ78" s="216"/>
      <c r="AK78" s="356"/>
      <c r="AL78" s="322">
        <f t="shared" si="6"/>
        <v>0</v>
      </c>
      <c r="AM78" s="145">
        <f t="shared" si="7"/>
        <v>2</v>
      </c>
    </row>
    <row r="79" spans="1:39" ht="18" customHeight="1" thickBot="1" x14ac:dyDescent="0.35">
      <c r="A79" s="29">
        <v>76</v>
      </c>
      <c r="B79" s="142" t="s">
        <v>87</v>
      </c>
      <c r="C79" s="34">
        <v>27</v>
      </c>
      <c r="D79" s="201"/>
      <c r="E79" s="14">
        <v>27</v>
      </c>
      <c r="F79" s="26">
        <f t="shared" si="5"/>
        <v>6.75</v>
      </c>
      <c r="G79" s="324"/>
      <c r="H79" s="454"/>
      <c r="I79" s="298"/>
      <c r="J79" s="236"/>
      <c r="K79" s="240"/>
      <c r="L79" s="236"/>
      <c r="M79" s="438"/>
      <c r="N79" s="236"/>
      <c r="O79" s="238"/>
      <c r="P79" s="394"/>
      <c r="Q79" s="410"/>
      <c r="R79" s="271"/>
      <c r="S79" s="236"/>
      <c r="T79" s="438"/>
      <c r="U79" s="236"/>
      <c r="V79" s="236"/>
      <c r="W79" s="428"/>
      <c r="X79" s="236"/>
      <c r="Y79" s="238"/>
      <c r="Z79" s="236"/>
      <c r="AA79" s="438"/>
      <c r="AB79" s="236"/>
      <c r="AC79" s="236"/>
      <c r="AD79" s="239"/>
      <c r="AE79" s="236"/>
      <c r="AF79" s="238"/>
      <c r="AG79" s="236"/>
      <c r="AH79" s="236"/>
      <c r="AI79" s="236"/>
      <c r="AJ79" s="236"/>
      <c r="AK79" s="357"/>
      <c r="AL79" s="325">
        <f t="shared" si="6"/>
        <v>0</v>
      </c>
      <c r="AM79" s="30">
        <f t="shared" si="7"/>
        <v>27</v>
      </c>
    </row>
    <row r="80" spans="1:39" ht="15.75" customHeight="1" thickBot="1" x14ac:dyDescent="0.35">
      <c r="A80" s="1"/>
      <c r="B80" s="35" t="s">
        <v>100</v>
      </c>
      <c r="C80" s="36"/>
      <c r="D80" s="37">
        <f>SUM(D4:D79)</f>
        <v>6247</v>
      </c>
      <c r="E80" s="37">
        <f>SUM(E4:E79)</f>
        <v>5275</v>
      </c>
      <c r="F80" s="276">
        <f>SUM(F4:F79)</f>
        <v>1318.75</v>
      </c>
      <c r="G80" s="402"/>
      <c r="H80" s="403"/>
      <c r="I80" s="403"/>
      <c r="J80" s="403"/>
      <c r="K80" s="403"/>
      <c r="L80" s="403"/>
      <c r="M80" s="404"/>
      <c r="N80" s="403"/>
      <c r="O80" s="403"/>
      <c r="P80" s="403"/>
      <c r="Q80" s="403"/>
      <c r="R80" s="403"/>
      <c r="S80" s="403"/>
      <c r="T80" s="403"/>
      <c r="U80" s="403"/>
      <c r="V80" s="403"/>
      <c r="W80" s="424"/>
      <c r="X80" s="403"/>
      <c r="Y80" s="403"/>
      <c r="Z80" s="403"/>
      <c r="AA80" s="403"/>
      <c r="AB80" s="403"/>
      <c r="AC80" s="403"/>
      <c r="AD80" s="403"/>
      <c r="AE80" s="403"/>
      <c r="AF80" s="403"/>
      <c r="AG80" s="403"/>
      <c r="AH80" s="403"/>
      <c r="AI80" s="403"/>
      <c r="AJ80" s="403"/>
      <c r="AK80" s="405"/>
      <c r="AL80" s="38">
        <f>SUM(AL4:AL79)</f>
        <v>5050</v>
      </c>
      <c r="AM80" s="39">
        <f t="shared" si="7"/>
        <v>225</v>
      </c>
    </row>
    <row r="81" spans="1:39" ht="15.75" customHeight="1" thickBot="1" x14ac:dyDescent="0.35">
      <c r="A81" s="1"/>
      <c r="B81" s="439" t="s">
        <v>101</v>
      </c>
      <c r="C81" s="440"/>
      <c r="D81" s="440"/>
      <c r="E81" s="440"/>
      <c r="F81" s="440"/>
      <c r="G81" s="40">
        <f t="shared" ref="G81:AK81" si="8">SUM(G4:G79)</f>
        <v>0</v>
      </c>
      <c r="H81" s="38">
        <f t="shared" si="8"/>
        <v>0</v>
      </c>
      <c r="I81" s="38">
        <f t="shared" si="8"/>
        <v>0</v>
      </c>
      <c r="J81" s="38">
        <f t="shared" si="8"/>
        <v>0</v>
      </c>
      <c r="K81" s="38">
        <f t="shared" si="8"/>
        <v>0</v>
      </c>
      <c r="L81" s="38">
        <f t="shared" si="8"/>
        <v>0</v>
      </c>
      <c r="M81" s="38">
        <f t="shared" si="8"/>
        <v>0</v>
      </c>
      <c r="N81" s="38">
        <f t="shared" si="8"/>
        <v>0</v>
      </c>
      <c r="O81" s="38">
        <f t="shared" si="8"/>
        <v>0</v>
      </c>
      <c r="P81" s="38">
        <f t="shared" si="8"/>
        <v>0</v>
      </c>
      <c r="Q81" s="38">
        <f t="shared" si="8"/>
        <v>0</v>
      </c>
      <c r="R81" s="38">
        <f t="shared" si="8"/>
        <v>0</v>
      </c>
      <c r="S81" s="38">
        <f t="shared" si="8"/>
        <v>0</v>
      </c>
      <c r="T81" s="38">
        <f t="shared" si="8"/>
        <v>0</v>
      </c>
      <c r="U81" s="38">
        <f t="shared" si="8"/>
        <v>0</v>
      </c>
      <c r="V81" s="38">
        <f t="shared" si="8"/>
        <v>0</v>
      </c>
      <c r="W81" s="425">
        <f t="shared" si="8"/>
        <v>0</v>
      </c>
      <c r="X81" s="38">
        <f t="shared" si="8"/>
        <v>0</v>
      </c>
      <c r="Y81" s="38">
        <f t="shared" si="8"/>
        <v>0</v>
      </c>
      <c r="Z81" s="38">
        <f t="shared" si="8"/>
        <v>0</v>
      </c>
      <c r="AA81" s="38">
        <f t="shared" si="8"/>
        <v>0</v>
      </c>
      <c r="AB81" s="38">
        <f t="shared" si="8"/>
        <v>0</v>
      </c>
      <c r="AC81" s="38">
        <f t="shared" si="8"/>
        <v>5050</v>
      </c>
      <c r="AD81" s="38">
        <f t="shared" si="8"/>
        <v>0</v>
      </c>
      <c r="AE81" s="38">
        <f t="shared" si="8"/>
        <v>0</v>
      </c>
      <c r="AF81" s="38">
        <f t="shared" si="8"/>
        <v>0</v>
      </c>
      <c r="AG81" s="38">
        <f t="shared" si="8"/>
        <v>0</v>
      </c>
      <c r="AH81" s="38">
        <f t="shared" si="8"/>
        <v>0</v>
      </c>
      <c r="AI81" s="38">
        <f t="shared" si="8"/>
        <v>0</v>
      </c>
      <c r="AJ81" s="38">
        <f t="shared" si="8"/>
        <v>0</v>
      </c>
      <c r="AK81" s="38">
        <f t="shared" si="8"/>
        <v>0</v>
      </c>
      <c r="AL81" s="41">
        <f>SUM(G81:AK81)</f>
        <v>5050</v>
      </c>
      <c r="AM81" s="42">
        <f>E80-AL81</f>
        <v>225</v>
      </c>
    </row>
    <row r="82" spans="1:39" ht="15.75" customHeight="1" x14ac:dyDescent="0.3">
      <c r="A82" s="1"/>
      <c r="B82" s="1"/>
      <c r="C82" s="1"/>
      <c r="D82" s="202"/>
      <c r="E82" s="1"/>
      <c r="F82" s="1"/>
      <c r="G82" s="18"/>
      <c r="H82" s="18"/>
      <c r="I82" s="1"/>
      <c r="J82" s="18"/>
      <c r="K82" s="18"/>
      <c r="L82" s="18"/>
      <c r="M82" s="1"/>
      <c r="N82" s="1"/>
      <c r="O82" s="18"/>
      <c r="P82" s="18"/>
      <c r="Q82" s="18"/>
      <c r="R82" s="18"/>
      <c r="S82" s="18"/>
      <c r="T82" s="18"/>
      <c r="U82" s="1"/>
      <c r="V82" s="1"/>
      <c r="W82" s="426"/>
      <c r="X82" s="18"/>
      <c r="Y82" s="18"/>
      <c r="Z82" s="18"/>
      <c r="AA82" s="18"/>
      <c r="AB82" s="18"/>
      <c r="AC82" s="1"/>
      <c r="AD82" s="18"/>
      <c r="AE82" s="18"/>
      <c r="AF82" s="18"/>
      <c r="AG82" s="18"/>
      <c r="AH82" s="18"/>
      <c r="AI82" s="18"/>
      <c r="AJ82" s="18"/>
      <c r="AK82" s="18"/>
      <c r="AL82" s="1"/>
      <c r="AM82" s="18"/>
    </row>
    <row r="83" spans="1:39" ht="15.75" customHeight="1" x14ac:dyDescent="0.3">
      <c r="A83" s="1"/>
      <c r="B83" s="15" t="s">
        <v>88</v>
      </c>
      <c r="C83" s="43" t="s">
        <v>89</v>
      </c>
      <c r="D83" s="16" t="s">
        <v>90</v>
      </c>
      <c r="E83" s="17" t="s">
        <v>91</v>
      </c>
      <c r="F83" s="1"/>
      <c r="G83" s="18"/>
      <c r="H83" s="18"/>
      <c r="I83" s="1"/>
      <c r="J83" s="18"/>
      <c r="K83" s="18"/>
      <c r="L83" s="18"/>
      <c r="M83" s="1"/>
      <c r="N83" s="1"/>
      <c r="O83" s="18"/>
      <c r="P83" s="18"/>
      <c r="Q83" s="18"/>
      <c r="R83" s="18"/>
      <c r="S83" s="18"/>
      <c r="T83" s="18"/>
      <c r="U83" s="1"/>
      <c r="V83" s="1"/>
      <c r="W83" s="426"/>
      <c r="X83" s="18"/>
      <c r="Y83" s="18"/>
      <c r="Z83" s="18"/>
      <c r="AA83" s="18"/>
      <c r="AB83" s="18"/>
      <c r="AC83" s="1"/>
      <c r="AD83" s="18"/>
      <c r="AE83" s="18"/>
      <c r="AF83" s="18"/>
      <c r="AG83" s="18"/>
      <c r="AH83" s="18"/>
      <c r="AI83" s="18"/>
      <c r="AJ83" s="18"/>
      <c r="AK83" s="18"/>
      <c r="AL83" s="1"/>
      <c r="AM83" s="18"/>
    </row>
    <row r="84" spans="1:39" ht="15.75" customHeight="1" x14ac:dyDescent="0.3">
      <c r="A84" s="1"/>
      <c r="B84" s="44"/>
      <c r="C84" s="44"/>
      <c r="D84" s="202"/>
      <c r="E84" s="1"/>
      <c r="F84" s="1"/>
      <c r="G84" s="18"/>
      <c r="H84" s="18"/>
      <c r="I84" s="1"/>
      <c r="J84" s="18"/>
      <c r="K84" s="18"/>
      <c r="L84" s="18"/>
      <c r="M84" s="1"/>
      <c r="N84" s="1"/>
      <c r="O84" s="18"/>
      <c r="P84" s="18"/>
      <c r="Q84" s="18"/>
      <c r="R84" s="18"/>
      <c r="S84" s="18"/>
      <c r="T84" s="18"/>
      <c r="U84" s="1"/>
      <c r="V84" s="1"/>
      <c r="W84" s="426"/>
      <c r="X84" s="18"/>
      <c r="Y84" s="18"/>
      <c r="Z84" s="18"/>
      <c r="AA84" s="18"/>
      <c r="AB84" s="18"/>
      <c r="AC84" s="1"/>
      <c r="AD84" s="18"/>
      <c r="AE84" s="18"/>
      <c r="AF84" s="18"/>
      <c r="AG84" s="18"/>
      <c r="AH84" s="18"/>
      <c r="AI84" s="18"/>
      <c r="AJ84" s="18"/>
      <c r="AK84" s="18"/>
      <c r="AL84" s="1"/>
      <c r="AM84" s="18"/>
    </row>
    <row r="85" spans="1:39" ht="15.75" customHeight="1" x14ac:dyDescent="0.3">
      <c r="A85" s="1"/>
      <c r="B85" s="44" t="s">
        <v>102</v>
      </c>
      <c r="C85" s="44"/>
      <c r="D85" s="61"/>
      <c r="E85" s="1"/>
      <c r="F85" s="1"/>
      <c r="G85" s="18"/>
      <c r="H85" s="18"/>
      <c r="I85" s="1"/>
      <c r="J85" s="18"/>
      <c r="K85" s="18"/>
      <c r="L85" s="18"/>
      <c r="M85" s="1"/>
      <c r="N85" s="1"/>
      <c r="O85" s="18"/>
      <c r="P85" s="18"/>
      <c r="Q85" s="18"/>
      <c r="R85" s="18"/>
      <c r="S85" s="18"/>
      <c r="T85" s="18"/>
      <c r="U85" s="1"/>
      <c r="V85" s="1"/>
      <c r="W85" s="426"/>
      <c r="X85" s="18"/>
      <c r="Y85" s="18"/>
      <c r="Z85" s="18"/>
      <c r="AA85" s="18"/>
      <c r="AB85" s="45"/>
      <c r="AC85" s="45"/>
      <c r="AD85" s="45"/>
      <c r="AE85" s="18"/>
      <c r="AF85" s="18"/>
      <c r="AG85" s="18"/>
      <c r="AH85" s="18"/>
      <c r="AI85" s="18"/>
      <c r="AJ85" s="18"/>
      <c r="AK85" s="18"/>
      <c r="AL85" s="1"/>
      <c r="AM85" s="18"/>
    </row>
    <row r="86" spans="1:39" ht="15.75" customHeight="1" x14ac:dyDescent="0.3">
      <c r="A86" s="1"/>
      <c r="B86" s="1" t="s">
        <v>103</v>
      </c>
      <c r="C86" s="44"/>
      <c r="D86" s="61"/>
      <c r="E86" s="1"/>
      <c r="F86" s="1"/>
      <c r="G86" s="18"/>
      <c r="H86" s="18"/>
      <c r="I86" s="1"/>
      <c r="J86" s="18"/>
      <c r="K86" s="18"/>
      <c r="L86" s="18"/>
      <c r="M86" s="1"/>
      <c r="N86" s="1"/>
      <c r="O86" s="18"/>
      <c r="P86" s="18"/>
      <c r="Q86" s="18"/>
      <c r="R86" s="18"/>
      <c r="S86" s="18"/>
      <c r="T86" s="18"/>
      <c r="U86" s="1"/>
      <c r="V86" s="1"/>
      <c r="W86" s="426"/>
      <c r="X86" s="18"/>
      <c r="Y86" s="18"/>
      <c r="Z86" s="18"/>
      <c r="AA86" s="18"/>
      <c r="AB86" s="45"/>
      <c r="AC86" s="45"/>
      <c r="AD86" s="45"/>
      <c r="AE86" s="18"/>
      <c r="AF86" s="18"/>
      <c r="AG86" s="18"/>
      <c r="AH86" s="18"/>
      <c r="AI86" s="18"/>
      <c r="AJ86" s="18"/>
      <c r="AK86" s="18"/>
      <c r="AL86" s="1"/>
      <c r="AM86" s="18"/>
    </row>
    <row r="87" spans="1:39" ht="15.75" customHeight="1" x14ac:dyDescent="0.3">
      <c r="A87" s="1"/>
      <c r="B87" s="46" t="s">
        <v>104</v>
      </c>
      <c r="C87" s="1"/>
      <c r="D87" s="202"/>
      <c r="E87" s="1"/>
      <c r="F87" s="1"/>
      <c r="G87" s="18"/>
      <c r="H87" s="18"/>
      <c r="I87" s="1"/>
      <c r="J87" s="18"/>
      <c r="K87" s="18"/>
      <c r="L87" s="18"/>
      <c r="M87" s="1"/>
      <c r="N87" s="1"/>
      <c r="O87" s="18"/>
      <c r="P87" s="18"/>
      <c r="Q87" s="18"/>
      <c r="R87" s="18"/>
      <c r="S87" s="18"/>
      <c r="T87" s="18"/>
      <c r="U87" s="1"/>
      <c r="V87" s="1"/>
      <c r="W87" s="426"/>
      <c r="X87" s="18"/>
      <c r="Y87" s="18"/>
      <c r="Z87" s="18"/>
      <c r="AA87" s="18"/>
      <c r="AB87" s="18"/>
      <c r="AC87" s="1"/>
      <c r="AD87" s="18"/>
      <c r="AE87" s="18"/>
      <c r="AF87" s="18"/>
      <c r="AG87" s="18"/>
      <c r="AH87" s="18"/>
      <c r="AI87" s="18"/>
      <c r="AJ87" s="18"/>
      <c r="AK87" s="18"/>
      <c r="AL87" s="1"/>
      <c r="AM87" s="18"/>
    </row>
    <row r="88" spans="1:39" ht="15.75" customHeight="1" x14ac:dyDescent="0.3">
      <c r="A88" s="1"/>
      <c r="B88" s="47" t="s">
        <v>105</v>
      </c>
      <c r="C88" s="146"/>
      <c r="D88" s="48" t="s">
        <v>106</v>
      </c>
      <c r="E88" s="1"/>
      <c r="F88" s="1"/>
      <c r="G88" s="18"/>
      <c r="H88" s="18"/>
      <c r="I88" s="1"/>
      <c r="J88" s="18"/>
      <c r="K88" s="18"/>
      <c r="L88" s="18"/>
      <c r="M88" s="1"/>
      <c r="N88" s="1"/>
      <c r="O88" s="18"/>
      <c r="P88" s="18"/>
      <c r="Q88" s="18"/>
      <c r="R88" s="18"/>
      <c r="S88" s="18"/>
      <c r="T88" s="18"/>
      <c r="U88" s="1"/>
      <c r="V88" s="1"/>
      <c r="W88" s="426"/>
      <c r="X88" s="18"/>
      <c r="Y88" s="18"/>
      <c r="Z88" s="18"/>
      <c r="AA88" s="18"/>
      <c r="AB88" s="18"/>
      <c r="AC88" s="1"/>
      <c r="AD88" s="18"/>
      <c r="AE88" s="18"/>
      <c r="AF88" s="18"/>
      <c r="AG88" s="18"/>
      <c r="AH88" s="18"/>
      <c r="AI88" s="18"/>
      <c r="AJ88" s="18"/>
      <c r="AK88" s="18"/>
      <c r="AL88" s="1"/>
      <c r="AM88" s="18"/>
    </row>
    <row r="89" spans="1:39" ht="15.75" customHeight="1" x14ac:dyDescent="0.3">
      <c r="A89" s="1"/>
      <c r="B89" s="147" t="s">
        <v>107</v>
      </c>
      <c r="C89" s="148"/>
      <c r="D89" s="149" t="s">
        <v>108</v>
      </c>
      <c r="E89" s="1"/>
      <c r="F89" s="1"/>
      <c r="G89" s="18"/>
      <c r="H89" s="18"/>
      <c r="I89" s="1"/>
      <c r="J89" s="18"/>
      <c r="K89" s="18"/>
      <c r="L89" s="18"/>
      <c r="M89" s="1"/>
      <c r="N89" s="1"/>
      <c r="O89" s="18"/>
      <c r="P89" s="18"/>
      <c r="Q89" s="18"/>
      <c r="R89" s="18"/>
      <c r="S89" s="18"/>
      <c r="T89" s="18"/>
      <c r="U89" s="1"/>
      <c r="V89" s="1"/>
      <c r="W89" s="426"/>
      <c r="X89" s="18"/>
      <c r="Y89" s="18"/>
      <c r="Z89" s="18"/>
      <c r="AA89" s="18"/>
      <c r="AB89" s="18"/>
      <c r="AC89" s="1"/>
      <c r="AD89" s="18"/>
      <c r="AE89" s="18"/>
      <c r="AF89" s="18"/>
      <c r="AG89" s="18"/>
      <c r="AH89" s="18"/>
      <c r="AI89" s="18"/>
      <c r="AJ89" s="18"/>
      <c r="AK89" s="18"/>
      <c r="AL89" s="1"/>
      <c r="AM89" s="18"/>
    </row>
    <row r="90" spans="1:39" ht="15.75" customHeight="1" x14ac:dyDescent="0.3">
      <c r="A90" s="1"/>
      <c r="B90" s="49" t="s">
        <v>109</v>
      </c>
      <c r="C90" s="150"/>
      <c r="D90" s="151" t="s">
        <v>110</v>
      </c>
      <c r="E90" s="1"/>
      <c r="F90" s="1"/>
      <c r="G90" s="18"/>
      <c r="H90" s="18"/>
      <c r="I90" s="1"/>
      <c r="J90" s="18"/>
      <c r="K90" s="18"/>
      <c r="L90" s="18"/>
      <c r="M90" s="1"/>
      <c r="N90" s="1"/>
      <c r="O90" s="18"/>
      <c r="P90" s="18"/>
      <c r="Q90" s="18"/>
      <c r="R90" s="18"/>
      <c r="S90" s="18"/>
      <c r="T90" s="18"/>
      <c r="V90" s="1"/>
      <c r="W90" s="426"/>
      <c r="X90" s="18"/>
      <c r="Y90" s="18"/>
      <c r="Z90" s="18"/>
      <c r="AA90" s="18"/>
      <c r="AB90" s="18"/>
      <c r="AC90" s="1"/>
      <c r="AD90" s="18"/>
      <c r="AE90" s="18"/>
      <c r="AF90" s="18"/>
      <c r="AG90" s="18"/>
      <c r="AH90" s="18"/>
      <c r="AI90" s="18"/>
      <c r="AJ90" s="18"/>
      <c r="AK90" s="18"/>
      <c r="AL90" s="1"/>
      <c r="AM90" s="18"/>
    </row>
    <row r="91" spans="1:39" ht="15.75" customHeight="1" x14ac:dyDescent="0.3">
      <c r="A91" s="1"/>
      <c r="B91" s="50" t="s">
        <v>111</v>
      </c>
      <c r="C91" s="152"/>
      <c r="D91" s="153" t="s">
        <v>112</v>
      </c>
      <c r="E91" s="1"/>
      <c r="F91" s="1"/>
      <c r="G91" s="18"/>
      <c r="H91" s="18"/>
      <c r="I91" s="1"/>
      <c r="J91" s="18"/>
      <c r="K91" s="18"/>
      <c r="L91" s="18"/>
      <c r="M91" s="1"/>
      <c r="N91" s="1"/>
      <c r="O91" s="18"/>
      <c r="P91" s="18"/>
      <c r="Q91" s="18"/>
      <c r="R91" s="18"/>
      <c r="S91" s="18"/>
      <c r="T91" s="18"/>
      <c r="U91" s="1"/>
      <c r="V91" s="1"/>
      <c r="W91" s="426"/>
      <c r="X91" s="18"/>
      <c r="Y91" s="18"/>
      <c r="Z91" s="18"/>
      <c r="AA91" s="18"/>
      <c r="AB91" s="18"/>
      <c r="AC91" s="1"/>
      <c r="AD91" s="18"/>
      <c r="AE91" s="18"/>
      <c r="AF91" s="18"/>
      <c r="AG91" s="18"/>
      <c r="AH91" s="18"/>
      <c r="AI91" s="18"/>
      <c r="AJ91" s="18"/>
      <c r="AK91" s="18"/>
      <c r="AL91" s="1"/>
      <c r="AM91" s="18"/>
    </row>
    <row r="92" spans="1:39" ht="15.75" customHeight="1" x14ac:dyDescent="0.3">
      <c r="A92" s="1"/>
      <c r="B92" s="51" t="s">
        <v>113</v>
      </c>
      <c r="C92" s="154"/>
      <c r="D92" s="155" t="s">
        <v>114</v>
      </c>
      <c r="E92" s="1"/>
      <c r="F92" s="1"/>
      <c r="G92" s="18"/>
      <c r="H92" s="18"/>
      <c r="I92" s="1"/>
      <c r="J92" s="18"/>
      <c r="K92" s="18"/>
      <c r="L92" s="18"/>
      <c r="M92" s="1"/>
      <c r="N92" s="1"/>
      <c r="O92" s="18"/>
      <c r="P92" s="18"/>
      <c r="Q92" s="18"/>
      <c r="R92" s="18"/>
      <c r="S92" s="18"/>
      <c r="T92" s="18"/>
      <c r="U92" s="1"/>
      <c r="V92" s="1"/>
      <c r="W92" s="426"/>
      <c r="X92" s="18"/>
      <c r="Y92" s="18"/>
      <c r="Z92" s="18"/>
      <c r="AA92" s="18"/>
      <c r="AB92" s="18"/>
      <c r="AC92" s="1"/>
      <c r="AD92" s="18"/>
      <c r="AE92" s="18"/>
      <c r="AF92" s="18"/>
      <c r="AG92" s="18"/>
      <c r="AH92" s="18"/>
      <c r="AI92" s="18"/>
      <c r="AJ92" s="18"/>
      <c r="AK92" s="18"/>
      <c r="AL92" s="1"/>
      <c r="AM92" s="18"/>
    </row>
    <row r="93" spans="1:39" ht="17.25" customHeight="1" x14ac:dyDescent="0.3">
      <c r="A93" s="1"/>
      <c r="B93" s="1"/>
      <c r="C93" s="1"/>
      <c r="D93" s="202"/>
      <c r="E93" s="1"/>
      <c r="F93" s="1"/>
      <c r="G93" s="18"/>
      <c r="H93" s="18"/>
      <c r="I93" s="1"/>
      <c r="J93" s="18"/>
      <c r="K93" s="18"/>
      <c r="L93" s="18"/>
      <c r="M93" s="1"/>
      <c r="N93" s="1"/>
      <c r="O93" s="18"/>
      <c r="P93" s="18"/>
      <c r="Q93" s="18"/>
      <c r="R93" s="18"/>
      <c r="S93" s="18"/>
      <c r="T93" s="18"/>
      <c r="U93" s="1"/>
      <c r="V93" s="1"/>
      <c r="W93" s="426"/>
      <c r="X93" s="18"/>
      <c r="Y93" s="18"/>
      <c r="Z93" s="18"/>
      <c r="AA93" s="18"/>
      <c r="AB93" s="18"/>
      <c r="AC93" s="1"/>
      <c r="AD93" s="18"/>
      <c r="AE93" s="18"/>
      <c r="AF93" s="18"/>
      <c r="AG93" s="18"/>
      <c r="AH93" s="18"/>
      <c r="AI93" s="18"/>
      <c r="AJ93" s="18"/>
      <c r="AK93" s="18"/>
      <c r="AL93" s="1"/>
      <c r="AM93" s="18"/>
    </row>
    <row r="94" spans="1:39" ht="15.75" customHeight="1" x14ac:dyDescent="0.4">
      <c r="A94" s="1"/>
      <c r="B94" s="52"/>
      <c r="C94" s="1"/>
      <c r="D94" s="202"/>
      <c r="E94" s="1"/>
      <c r="F94" s="1"/>
      <c r="G94" s="18"/>
      <c r="H94" s="18"/>
      <c r="I94" s="1"/>
      <c r="J94" s="18"/>
      <c r="K94" s="18"/>
      <c r="L94" s="18"/>
      <c r="M94" s="1"/>
      <c r="N94" s="1"/>
      <c r="O94" s="18"/>
      <c r="P94" s="18"/>
      <c r="Q94" s="18"/>
      <c r="R94" s="18"/>
      <c r="S94" s="18"/>
      <c r="T94" s="18"/>
      <c r="U94" s="1"/>
      <c r="V94" s="1"/>
      <c r="W94" s="426"/>
      <c r="X94" s="18"/>
      <c r="Y94" s="18"/>
      <c r="Z94" s="18"/>
      <c r="AA94" s="18"/>
      <c r="AB94" s="18"/>
      <c r="AC94" s="1"/>
      <c r="AD94" s="18"/>
      <c r="AE94" s="18"/>
      <c r="AF94" s="18"/>
      <c r="AG94" s="18"/>
      <c r="AH94" s="18"/>
      <c r="AI94" s="18"/>
      <c r="AJ94" s="18"/>
      <c r="AK94" s="18"/>
      <c r="AL94" s="1"/>
      <c r="AM94" s="18"/>
    </row>
    <row r="95" spans="1:39" ht="15.75" customHeight="1" x14ac:dyDescent="0.4">
      <c r="A95" s="53"/>
      <c r="B95" s="52" t="s">
        <v>115</v>
      </c>
      <c r="C95" s="1"/>
      <c r="D95" s="202"/>
      <c r="G95" s="54"/>
      <c r="H95" s="54"/>
      <c r="I95" s="1"/>
      <c r="J95" s="18"/>
      <c r="K95" s="18"/>
      <c r="L95" s="18"/>
      <c r="M95" s="1"/>
      <c r="N95" s="1"/>
      <c r="O95" s="18"/>
      <c r="P95" s="18"/>
      <c r="Q95" s="18"/>
      <c r="R95" s="18"/>
      <c r="S95" s="18"/>
      <c r="T95" s="18"/>
      <c r="U95" s="1"/>
      <c r="V95" s="1"/>
      <c r="W95" s="426"/>
      <c r="X95" s="18"/>
      <c r="Y95" s="18"/>
      <c r="Z95" s="18"/>
      <c r="AA95" s="18"/>
      <c r="AB95" s="18"/>
      <c r="AC95" s="1"/>
      <c r="AD95" s="18"/>
      <c r="AE95" s="18"/>
      <c r="AF95" s="18"/>
      <c r="AG95" s="18"/>
      <c r="AH95" s="18"/>
      <c r="AI95" s="18"/>
      <c r="AJ95" s="18"/>
      <c r="AK95" s="18"/>
      <c r="AL95" s="1"/>
      <c r="AM95" s="18"/>
    </row>
    <row r="96" spans="1:39" ht="17.25" customHeight="1" x14ac:dyDescent="0.4">
      <c r="A96" s="53"/>
      <c r="B96" s="52" t="s">
        <v>116</v>
      </c>
      <c r="C96" s="1"/>
      <c r="D96" s="202"/>
      <c r="G96" s="54"/>
      <c r="H96" s="54"/>
      <c r="I96" s="1"/>
      <c r="J96" s="18"/>
      <c r="K96" s="18"/>
      <c r="L96" s="18"/>
      <c r="M96" s="1"/>
      <c r="N96" s="1"/>
      <c r="O96" s="18"/>
      <c r="P96" s="18"/>
      <c r="Q96" s="18"/>
      <c r="R96" s="18"/>
      <c r="S96" s="18"/>
      <c r="T96" s="18"/>
      <c r="U96" s="1"/>
      <c r="V96" s="1"/>
      <c r="W96" s="426"/>
      <c r="X96" s="18"/>
      <c r="Y96" s="18"/>
      <c r="Z96" s="18"/>
      <c r="AA96" s="18"/>
      <c r="AB96" s="18"/>
      <c r="AC96" s="1"/>
      <c r="AD96" s="18"/>
      <c r="AE96" s="18"/>
      <c r="AF96" s="18"/>
      <c r="AG96" s="18"/>
      <c r="AH96" s="18"/>
      <c r="AI96" s="18"/>
      <c r="AJ96" s="18"/>
      <c r="AK96" s="18"/>
      <c r="AL96" s="1"/>
      <c r="AM96" s="18"/>
    </row>
    <row r="97" spans="1:39" ht="15.75" customHeight="1" x14ac:dyDescent="0.4">
      <c r="A97" s="53"/>
      <c r="B97" s="52" t="s">
        <v>117</v>
      </c>
      <c r="C97" s="1"/>
      <c r="D97" s="202"/>
      <c r="E97" s="1"/>
      <c r="F97" s="1"/>
      <c r="G97" s="18"/>
      <c r="H97" s="18"/>
      <c r="I97" s="1"/>
      <c r="J97" s="18"/>
      <c r="K97" s="18"/>
      <c r="L97" s="18"/>
      <c r="M97" s="1"/>
      <c r="N97" s="1"/>
      <c r="O97" s="18"/>
      <c r="P97" s="18"/>
      <c r="Q97" s="18"/>
      <c r="R97" s="18"/>
      <c r="S97" s="18"/>
      <c r="T97" s="18"/>
      <c r="U97" s="1"/>
      <c r="V97" s="1"/>
      <c r="W97" s="426"/>
      <c r="X97" s="18"/>
      <c r="Y97" s="18"/>
      <c r="Z97" s="18"/>
      <c r="AA97" s="18"/>
      <c r="AB97" s="18"/>
      <c r="AC97" s="1"/>
      <c r="AD97" s="18"/>
      <c r="AE97" s="18"/>
      <c r="AF97" s="18"/>
      <c r="AG97" s="18"/>
      <c r="AH97" s="18"/>
      <c r="AI97" s="18"/>
      <c r="AJ97" s="18"/>
      <c r="AK97" s="18"/>
      <c r="AL97" s="1"/>
      <c r="AM97" s="18"/>
    </row>
    <row r="98" spans="1:39" ht="15.75" customHeight="1" x14ac:dyDescent="0.4">
      <c r="A98" s="53"/>
      <c r="B98" s="52" t="s">
        <v>118</v>
      </c>
      <c r="C98" s="1"/>
      <c r="D98" s="202"/>
      <c r="E98" s="1"/>
      <c r="F98" s="1"/>
      <c r="G98" s="18"/>
      <c r="H98" s="18"/>
      <c r="I98" s="1"/>
      <c r="J98" s="18"/>
      <c r="K98" s="18"/>
      <c r="L98" s="18"/>
      <c r="M98" s="1"/>
      <c r="N98" s="1"/>
      <c r="O98" s="18"/>
      <c r="P98" s="18"/>
      <c r="Q98" s="18"/>
      <c r="R98" s="18"/>
      <c r="S98" s="18"/>
      <c r="T98" s="18"/>
      <c r="U98" s="1"/>
      <c r="V98" s="1"/>
      <c r="W98" s="426"/>
      <c r="X98" s="18"/>
      <c r="Y98" s="18"/>
      <c r="Z98" s="18"/>
      <c r="AA98" s="18"/>
      <c r="AB98" s="18"/>
      <c r="AC98" s="1"/>
      <c r="AD98" s="18"/>
      <c r="AE98" s="18"/>
      <c r="AF98" s="18"/>
      <c r="AG98" s="18"/>
      <c r="AH98" s="18"/>
      <c r="AI98" s="18"/>
      <c r="AJ98" s="18"/>
      <c r="AK98" s="18"/>
      <c r="AL98" s="1"/>
      <c r="AM98" s="18"/>
    </row>
    <row r="99" spans="1:39" ht="15.75" customHeight="1" x14ac:dyDescent="0.4">
      <c r="A99" s="1"/>
      <c r="B99" s="52" t="s">
        <v>119</v>
      </c>
      <c r="C99" s="1"/>
      <c r="D99" s="202"/>
      <c r="E99" s="1"/>
      <c r="F99" s="1"/>
      <c r="G99" s="18"/>
      <c r="H99" s="18"/>
      <c r="I99" s="1"/>
      <c r="J99" s="18"/>
      <c r="K99" s="18"/>
      <c r="L99" s="18"/>
      <c r="M99" s="1"/>
      <c r="N99" s="1"/>
      <c r="O99" s="18"/>
      <c r="P99" s="18"/>
      <c r="Q99" s="18"/>
      <c r="R99" s="18"/>
      <c r="S99" s="18"/>
      <c r="T99" s="18"/>
      <c r="U99" s="1"/>
      <c r="V99" s="1"/>
      <c r="W99" s="426"/>
      <c r="X99" s="18"/>
      <c r="Y99" s="18"/>
      <c r="Z99" s="18"/>
      <c r="AA99" s="18"/>
      <c r="AB99" s="18"/>
      <c r="AC99" s="1"/>
      <c r="AD99" s="18"/>
      <c r="AE99" s="18"/>
      <c r="AF99" s="18"/>
      <c r="AG99" s="18"/>
      <c r="AH99" s="18"/>
      <c r="AI99" s="18"/>
      <c r="AJ99" s="18"/>
      <c r="AK99" s="18"/>
      <c r="AL99" s="1"/>
      <c r="AM99" s="18"/>
    </row>
    <row r="100" spans="1:39" ht="15.75" customHeight="1" x14ac:dyDescent="0.4">
      <c r="A100" s="1"/>
      <c r="B100" s="52" t="s">
        <v>120</v>
      </c>
      <c r="C100" s="1"/>
      <c r="D100" s="202"/>
      <c r="E100" s="1"/>
      <c r="F100" s="1"/>
      <c r="G100" s="18"/>
      <c r="H100" s="18"/>
      <c r="I100" s="1"/>
      <c r="J100" s="18"/>
      <c r="K100" s="18"/>
      <c r="L100" s="18"/>
      <c r="M100" s="1"/>
      <c r="N100" s="1"/>
      <c r="O100" s="18"/>
      <c r="P100" s="18"/>
      <c r="Q100" s="18"/>
      <c r="R100" s="18"/>
      <c r="S100" s="18"/>
      <c r="T100" s="18"/>
      <c r="U100" s="1"/>
      <c r="V100" s="1"/>
      <c r="W100" s="426"/>
      <c r="X100" s="18"/>
      <c r="Y100" s="18"/>
      <c r="Z100" s="18"/>
      <c r="AA100" s="18"/>
      <c r="AB100" s="18"/>
      <c r="AC100" s="1"/>
      <c r="AD100" s="18"/>
      <c r="AE100" s="18"/>
      <c r="AF100" s="18"/>
      <c r="AG100" s="18"/>
      <c r="AH100" s="18"/>
      <c r="AI100" s="18"/>
      <c r="AJ100" s="18"/>
      <c r="AK100" s="18"/>
      <c r="AL100" s="1"/>
      <c r="AM100" s="18"/>
    </row>
    <row r="101" spans="1:39" ht="15.75" customHeight="1" x14ac:dyDescent="0.4">
      <c r="A101" s="1"/>
      <c r="B101" s="52" t="s">
        <v>121</v>
      </c>
      <c r="C101" s="1"/>
      <c r="D101" s="202"/>
      <c r="E101" s="1"/>
      <c r="F101" s="1"/>
      <c r="G101" s="18"/>
      <c r="H101" s="18"/>
      <c r="I101" s="1"/>
      <c r="J101" s="18"/>
      <c r="K101" s="18"/>
      <c r="L101" s="18"/>
      <c r="M101" s="1"/>
      <c r="N101" s="1"/>
      <c r="O101" s="18"/>
      <c r="P101" s="18"/>
      <c r="Q101" s="18"/>
      <c r="R101" s="18"/>
      <c r="S101" s="18"/>
      <c r="T101" s="18"/>
      <c r="U101" s="1"/>
      <c r="V101" s="1"/>
      <c r="W101" s="426"/>
      <c r="X101" s="18"/>
      <c r="Y101" s="18"/>
      <c r="Z101" s="18"/>
      <c r="AA101" s="18"/>
      <c r="AB101" s="18"/>
      <c r="AC101" s="1"/>
      <c r="AD101" s="18"/>
      <c r="AE101" s="18"/>
      <c r="AF101" s="18"/>
      <c r="AG101" s="18"/>
      <c r="AH101" s="18"/>
      <c r="AI101" s="18"/>
      <c r="AJ101" s="18"/>
      <c r="AK101" s="18"/>
      <c r="AL101" s="1"/>
      <c r="AM101" s="18"/>
    </row>
    <row r="102" spans="1:39" ht="16.5" customHeight="1" x14ac:dyDescent="0.4">
      <c r="A102" s="1"/>
      <c r="B102" s="52" t="s">
        <v>122</v>
      </c>
      <c r="G102" s="54"/>
      <c r="H102" s="54"/>
      <c r="J102" s="54"/>
      <c r="K102" s="54"/>
      <c r="L102" s="54"/>
      <c r="O102" s="54"/>
      <c r="P102" s="54"/>
      <c r="Q102" s="54"/>
      <c r="R102" s="54"/>
      <c r="S102" s="54"/>
      <c r="T102" s="54"/>
      <c r="W102" s="427"/>
      <c r="X102" s="54"/>
      <c r="Y102" s="54"/>
      <c r="Z102" s="54"/>
      <c r="AA102" s="54"/>
      <c r="AB102" s="54"/>
      <c r="AD102" s="54"/>
      <c r="AE102" s="54"/>
      <c r="AF102" s="54"/>
      <c r="AG102" s="54"/>
      <c r="AH102" s="54"/>
      <c r="AI102" s="54"/>
      <c r="AJ102" s="54"/>
      <c r="AK102" s="54"/>
    </row>
    <row r="103" spans="1:39" ht="15.75" customHeight="1" x14ac:dyDescent="0.4">
      <c r="B103" s="52" t="s">
        <v>123</v>
      </c>
    </row>
    <row r="104" spans="1:39" ht="15.75" customHeight="1" x14ac:dyDescent="0.4">
      <c r="B104" s="52"/>
    </row>
    <row r="105" spans="1:39" ht="15.75" customHeight="1" x14ac:dyDescent="0.4">
      <c r="B105" s="52"/>
    </row>
    <row r="106" spans="1:39" ht="15.75" customHeight="1" x14ac:dyDescent="0.4">
      <c r="B106" s="52"/>
    </row>
    <row r="107" spans="1:39" ht="15.75" customHeight="1" x14ac:dyDescent="0.4">
      <c r="B107" s="52"/>
    </row>
    <row r="108" spans="1:39" ht="15.75" customHeight="1" x14ac:dyDescent="0.45">
      <c r="B108" s="55"/>
    </row>
    <row r="109" spans="1:39" ht="15.75" customHeight="1" x14ac:dyDescent="0.4">
      <c r="B109" s="52"/>
    </row>
    <row r="110" spans="1:39" ht="15.75" customHeight="1" x14ac:dyDescent="0.45">
      <c r="B110" s="55"/>
    </row>
    <row r="111" spans="1:39" ht="15.75" customHeight="1" x14ac:dyDescent="0.4">
      <c r="B111" s="52"/>
    </row>
    <row r="112" spans="1:39" ht="15.75" customHeight="1" x14ac:dyDescent="0.4">
      <c r="B112" s="52"/>
    </row>
    <row r="113" spans="2:2" ht="15.75" customHeight="1" x14ac:dyDescent="0.4">
      <c r="B113" s="52"/>
    </row>
    <row r="114" spans="2:2" ht="15.75" customHeight="1" x14ac:dyDescent="0.45">
      <c r="B114" s="55"/>
    </row>
    <row r="115" spans="2:2" ht="15.75" customHeight="1" x14ac:dyDescent="0.45">
      <c r="B115" s="55"/>
    </row>
    <row r="116" spans="2:2" ht="15.75" customHeight="1" x14ac:dyDescent="0.3"/>
    <row r="117" spans="2:2" ht="15.75" customHeight="1" x14ac:dyDescent="0.3"/>
    <row r="118" spans="2:2" ht="15.75" customHeight="1" x14ac:dyDescent="0.3"/>
    <row r="119" spans="2:2" ht="15.75" customHeight="1" x14ac:dyDescent="0.3"/>
    <row r="120" spans="2:2" ht="15.75" customHeight="1" x14ac:dyDescent="0.3"/>
    <row r="121" spans="2:2" ht="15.75" customHeight="1" x14ac:dyDescent="0.3"/>
    <row r="122" spans="2:2" ht="15.75" customHeight="1" x14ac:dyDescent="0.3"/>
    <row r="123" spans="2:2" ht="15.75" customHeight="1" x14ac:dyDescent="0.3"/>
    <row r="124" spans="2:2" ht="15.75" customHeight="1" x14ac:dyDescent="0.3"/>
    <row r="125" spans="2:2" ht="15.75" customHeight="1" x14ac:dyDescent="0.3"/>
    <row r="126" spans="2:2" ht="15.75" customHeight="1" x14ac:dyDescent="0.3"/>
    <row r="127" spans="2:2" ht="15.75" customHeight="1" x14ac:dyDescent="0.3"/>
    <row r="128" spans="2: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mergeCells count="20">
    <mergeCell ref="E2:F2"/>
    <mergeCell ref="G2:AK2"/>
    <mergeCell ref="N52:N63"/>
    <mergeCell ref="M64:M79"/>
    <mergeCell ref="M24:M38"/>
    <mergeCell ref="H4:H23"/>
    <mergeCell ref="T4:T23"/>
    <mergeCell ref="H64:H79"/>
    <mergeCell ref="T39:T40"/>
    <mergeCell ref="T24:T38"/>
    <mergeCell ref="T64:T79"/>
    <mergeCell ref="AA41:AA63"/>
    <mergeCell ref="T41:T63"/>
    <mergeCell ref="B81:F81"/>
    <mergeCell ref="AA24:AA38"/>
    <mergeCell ref="AA64:AA79"/>
    <mergeCell ref="AA4:AA23"/>
    <mergeCell ref="AA39:AA40"/>
    <mergeCell ref="N41:N50"/>
    <mergeCell ref="M4:M23"/>
  </mergeCells>
  <pageMargins left="0.7" right="0.7" top="0.75" bottom="0.75" header="0" footer="0"/>
  <pageSetup paperSize="9" scale="15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opLeftCell="A2" zoomScale="70" zoomScaleNormal="70" workbookViewId="0">
      <selection activeCell="F8" sqref="F8"/>
    </sheetView>
  </sheetViews>
  <sheetFormatPr defaultColWidth="12.5546875" defaultRowHeight="15" customHeight="1" x14ac:dyDescent="0.25"/>
  <cols>
    <col min="1" max="1" width="5.33203125" customWidth="1"/>
    <col min="2" max="2" width="20.5546875" customWidth="1"/>
    <col min="3" max="3" width="17.109375" customWidth="1"/>
    <col min="4" max="6" width="14.6640625" customWidth="1"/>
    <col min="7" max="7" width="35.33203125" customWidth="1"/>
  </cols>
  <sheetData>
    <row r="1" spans="1:7" ht="96" customHeight="1" x14ac:dyDescent="0.25">
      <c r="B1" s="56"/>
    </row>
    <row r="2" spans="1:7" ht="24.75" customHeight="1" x14ac:dyDescent="0.25">
      <c r="A2" s="471" t="s">
        <v>124</v>
      </c>
      <c r="B2" s="472"/>
      <c r="C2" s="472"/>
      <c r="D2" s="472"/>
      <c r="E2" s="472"/>
      <c r="F2" s="472"/>
      <c r="G2" s="473"/>
    </row>
    <row r="3" spans="1:7" ht="20.25" customHeight="1" x14ac:dyDescent="0.25">
      <c r="A3" s="466" t="s">
        <v>125</v>
      </c>
      <c r="B3" s="467"/>
      <c r="C3" s="467"/>
      <c r="D3" s="467"/>
      <c r="E3" s="467"/>
      <c r="F3" s="467"/>
      <c r="G3" s="456"/>
    </row>
    <row r="4" spans="1:7" ht="24.75" customHeight="1" x14ac:dyDescent="0.25">
      <c r="A4" s="468" t="s">
        <v>126</v>
      </c>
      <c r="B4" s="469"/>
      <c r="C4" s="469"/>
      <c r="D4" s="469"/>
      <c r="E4" s="469"/>
      <c r="F4" s="469"/>
      <c r="G4" s="435"/>
    </row>
    <row r="5" spans="1:7" ht="24.75" customHeight="1" thickBot="1" x14ac:dyDescent="0.3">
      <c r="A5" s="470" t="s">
        <v>127</v>
      </c>
      <c r="B5" s="461"/>
      <c r="C5" s="156">
        <v>45962</v>
      </c>
      <c r="D5" s="465" t="s">
        <v>128</v>
      </c>
      <c r="E5" s="460"/>
      <c r="F5" s="460"/>
      <c r="G5" s="57" t="s">
        <v>129</v>
      </c>
    </row>
    <row r="6" spans="1:7" ht="65.25" customHeight="1" thickBot="1" x14ac:dyDescent="0.3">
      <c r="A6" s="376" t="s">
        <v>130</v>
      </c>
      <c r="B6" s="377" t="s">
        <v>131</v>
      </c>
      <c r="C6" s="377" t="s">
        <v>132</v>
      </c>
      <c r="D6" s="378" t="s">
        <v>133</v>
      </c>
      <c r="E6" s="378" t="s">
        <v>134</v>
      </c>
      <c r="F6" s="377" t="s">
        <v>135</v>
      </c>
      <c r="G6" s="379" t="s">
        <v>136</v>
      </c>
    </row>
    <row r="7" spans="1:7" ht="75" customHeight="1" x14ac:dyDescent="0.25">
      <c r="A7" s="380">
        <v>1</v>
      </c>
      <c r="B7" s="157" t="s">
        <v>89</v>
      </c>
      <c r="C7" s="158">
        <v>200</v>
      </c>
      <c r="D7" s="95">
        <v>100</v>
      </c>
      <c r="E7" s="95">
        <v>300</v>
      </c>
      <c r="F7" s="159">
        <v>200</v>
      </c>
      <c r="G7" s="381"/>
    </row>
    <row r="8" spans="1:7" ht="75" customHeight="1" x14ac:dyDescent="0.25">
      <c r="A8" s="382">
        <v>2</v>
      </c>
      <c r="B8" s="157" t="s">
        <v>88</v>
      </c>
      <c r="C8" s="58">
        <v>200</v>
      </c>
      <c r="D8" s="95">
        <v>3000</v>
      </c>
      <c r="E8" s="95">
        <v>6000</v>
      </c>
      <c r="F8" s="159">
        <v>3000</v>
      </c>
      <c r="G8" s="383"/>
    </row>
    <row r="9" spans="1:7" ht="78" customHeight="1" x14ac:dyDescent="0.25">
      <c r="A9" s="382">
        <v>3</v>
      </c>
      <c r="B9" s="157" t="s">
        <v>90</v>
      </c>
      <c r="C9" s="58">
        <v>200</v>
      </c>
      <c r="D9" s="95"/>
      <c r="E9" s="95"/>
      <c r="F9" s="159">
        <f>E9-D9</f>
        <v>0</v>
      </c>
      <c r="G9" s="384"/>
    </row>
    <row r="10" spans="1:7" ht="75" customHeight="1" thickBot="1" x14ac:dyDescent="0.3">
      <c r="A10" s="385">
        <v>4</v>
      </c>
      <c r="B10" s="386" t="s">
        <v>91</v>
      </c>
      <c r="C10" s="387">
        <v>200</v>
      </c>
      <c r="D10" s="388"/>
      <c r="E10" s="388"/>
      <c r="F10" s="159">
        <f>E10-D10</f>
        <v>0</v>
      </c>
      <c r="G10" s="389"/>
    </row>
    <row r="11" spans="1:7" ht="30.75" customHeight="1" x14ac:dyDescent="0.25">
      <c r="A11" s="459" t="s">
        <v>137</v>
      </c>
      <c r="B11" s="460"/>
      <c r="C11" s="461"/>
      <c r="D11" s="373"/>
      <c r="E11" s="373"/>
      <c r="F11" s="374">
        <f>SUM(F7:F10)</f>
        <v>3200</v>
      </c>
      <c r="G11" s="375"/>
    </row>
    <row r="12" spans="1:7" ht="27" customHeight="1" x14ac:dyDescent="0.25">
      <c r="A12" s="455" t="s">
        <v>138</v>
      </c>
      <c r="B12" s="456"/>
      <c r="C12" s="455" t="s">
        <v>139</v>
      </c>
      <c r="D12" s="463"/>
      <c r="E12" s="464"/>
      <c r="F12" s="160" t="s">
        <v>140</v>
      </c>
      <c r="G12" s="59"/>
    </row>
    <row r="13" spans="1:7" ht="29.25" customHeight="1" x14ac:dyDescent="0.25">
      <c r="A13" s="457"/>
      <c r="B13" s="458"/>
      <c r="C13" s="462"/>
      <c r="D13" s="463"/>
      <c r="E13" s="464"/>
      <c r="F13" s="60"/>
      <c r="G13" s="161"/>
    </row>
    <row r="14" spans="1:7" ht="15.75" customHeight="1" x14ac:dyDescent="0.25"/>
    <row r="15" spans="1:7" ht="15.75" customHeight="1" x14ac:dyDescent="0.3">
      <c r="B15" s="61" t="s">
        <v>141</v>
      </c>
    </row>
    <row r="16" spans="1:7" ht="15.75" customHeight="1" x14ac:dyDescent="0.3">
      <c r="B16" s="1" t="s">
        <v>103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2:G2"/>
    <mergeCell ref="C12:E12"/>
    <mergeCell ref="A12:B13"/>
    <mergeCell ref="A11:C11"/>
    <mergeCell ref="C13:E13"/>
    <mergeCell ref="D5:F5"/>
    <mergeCell ref="A3:G3"/>
    <mergeCell ref="A4:G4"/>
    <mergeCell ref="A5:B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topLeftCell="B1" zoomScale="40" zoomScaleNormal="40" workbookViewId="0">
      <selection activeCell="H5" sqref="H5"/>
    </sheetView>
  </sheetViews>
  <sheetFormatPr defaultColWidth="12.5546875" defaultRowHeight="15" customHeight="1" x14ac:dyDescent="0.25"/>
  <cols>
    <col min="1" max="1" width="5.33203125" hidden="1" customWidth="1"/>
    <col min="2" max="2" width="20.5546875" customWidth="1"/>
    <col min="3" max="3" width="20.6640625" bestFit="1" customWidth="1"/>
    <col min="4" max="7" width="22" customWidth="1"/>
    <col min="8" max="8" width="39" customWidth="1"/>
    <col min="9" max="11" width="9.109375" customWidth="1"/>
    <col min="12" max="15" width="14.44140625" customWidth="1"/>
  </cols>
  <sheetData>
    <row r="1" spans="1:24" ht="81" customHeight="1" x14ac:dyDescent="0.25"/>
    <row r="2" spans="1:24" ht="24.75" customHeight="1" x14ac:dyDescent="0.25">
      <c r="A2" s="485" t="s">
        <v>124</v>
      </c>
      <c r="B2" s="472"/>
      <c r="C2" s="472"/>
      <c r="D2" s="472"/>
      <c r="E2" s="472"/>
      <c r="F2" s="472"/>
      <c r="G2" s="472"/>
      <c r="H2" s="486"/>
    </row>
    <row r="3" spans="1:24" ht="36.6" customHeight="1" x14ac:dyDescent="0.25">
      <c r="A3" s="475" t="s">
        <v>125</v>
      </c>
      <c r="B3" s="467"/>
      <c r="C3" s="467"/>
      <c r="D3" s="467"/>
      <c r="E3" s="467"/>
      <c r="F3" s="467"/>
      <c r="G3" s="467"/>
      <c r="H3" s="476"/>
    </row>
    <row r="4" spans="1:24" ht="30.75" customHeight="1" x14ac:dyDescent="0.25">
      <c r="A4" s="474" t="s">
        <v>142</v>
      </c>
      <c r="B4" s="449"/>
      <c r="C4" s="449"/>
      <c r="D4" s="449"/>
      <c r="E4" s="449"/>
      <c r="F4" s="449"/>
      <c r="G4" s="449"/>
      <c r="H4" s="451"/>
    </row>
    <row r="5" spans="1:24" ht="24.75" customHeight="1" thickBot="1" x14ac:dyDescent="0.3">
      <c r="A5" s="62" t="s">
        <v>127</v>
      </c>
      <c r="B5" s="63"/>
      <c r="C5" s="162">
        <v>45962</v>
      </c>
      <c r="D5" s="477" t="s">
        <v>128</v>
      </c>
      <c r="E5" s="469"/>
      <c r="F5" s="478"/>
      <c r="G5" s="64"/>
      <c r="H5" s="65" t="s">
        <v>143</v>
      </c>
    </row>
    <row r="6" spans="1:24" ht="60" customHeight="1" x14ac:dyDescent="0.25">
      <c r="A6" s="66" t="s">
        <v>130</v>
      </c>
      <c r="B6" s="163" t="s">
        <v>144</v>
      </c>
      <c r="C6" s="163" t="s">
        <v>145</v>
      </c>
      <c r="D6" s="163" t="s">
        <v>89</v>
      </c>
      <c r="E6" s="163" t="s">
        <v>88</v>
      </c>
      <c r="F6" s="163" t="s">
        <v>90</v>
      </c>
      <c r="G6" s="163" t="s">
        <v>91</v>
      </c>
      <c r="H6" s="164"/>
      <c r="J6" s="192"/>
      <c r="K6" s="192"/>
      <c r="L6" s="191"/>
      <c r="M6" s="193"/>
      <c r="N6" s="191"/>
      <c r="O6" s="67"/>
    </row>
    <row r="7" spans="1:24" ht="75" customHeight="1" x14ac:dyDescent="0.25">
      <c r="A7" s="68">
        <v>1</v>
      </c>
      <c r="B7" s="69" t="s">
        <v>146</v>
      </c>
      <c r="C7" s="165" t="s">
        <v>147</v>
      </c>
      <c r="D7" s="366"/>
      <c r="E7" s="366"/>
      <c r="F7" s="366"/>
      <c r="G7" s="366"/>
      <c r="H7" s="70"/>
      <c r="I7" s="192"/>
      <c r="J7" s="184"/>
      <c r="K7" s="184"/>
      <c r="L7" s="184"/>
      <c r="M7" s="184"/>
      <c r="N7" s="184"/>
      <c r="O7" s="184"/>
      <c r="P7" s="184"/>
      <c r="Q7" s="71"/>
      <c r="R7" s="71"/>
      <c r="S7" s="71"/>
      <c r="T7" s="71"/>
      <c r="U7" s="71"/>
      <c r="V7" s="71"/>
      <c r="W7" s="71"/>
      <c r="X7" s="71"/>
    </row>
    <row r="8" spans="1:24" ht="105" customHeight="1" x14ac:dyDescent="0.25">
      <c r="A8" s="68"/>
      <c r="B8" s="166"/>
      <c r="C8" s="72"/>
      <c r="D8" s="367"/>
      <c r="E8" s="368"/>
      <c r="F8" s="171"/>
      <c r="G8" s="367"/>
      <c r="H8" s="70"/>
      <c r="I8" s="192"/>
      <c r="J8" s="187"/>
      <c r="K8" s="187"/>
      <c r="L8" s="188"/>
      <c r="M8" s="190"/>
      <c r="N8" s="187"/>
      <c r="O8" s="187"/>
      <c r="P8" s="371"/>
      <c r="Q8" s="75"/>
      <c r="R8" s="74"/>
      <c r="S8" s="18"/>
      <c r="T8" s="18"/>
      <c r="U8" s="75"/>
      <c r="V8" s="75"/>
      <c r="W8" s="75"/>
      <c r="X8" s="75"/>
    </row>
    <row r="9" spans="1:24" ht="93.75" customHeight="1" x14ac:dyDescent="0.25">
      <c r="A9" s="76">
        <v>2</v>
      </c>
      <c r="B9" s="77" t="s">
        <v>148</v>
      </c>
      <c r="C9" s="168" t="s">
        <v>149</v>
      </c>
      <c r="D9" s="167"/>
      <c r="E9" s="167"/>
      <c r="F9" s="167"/>
      <c r="G9" s="167"/>
      <c r="H9" s="78"/>
      <c r="I9" s="192"/>
      <c r="J9" s="185"/>
      <c r="K9" s="185"/>
      <c r="L9" s="185"/>
      <c r="M9" s="185"/>
      <c r="N9" s="185"/>
      <c r="O9" s="185"/>
      <c r="P9" s="185"/>
      <c r="Q9" s="73"/>
      <c r="R9" s="73"/>
      <c r="S9" s="73"/>
      <c r="T9" s="73"/>
      <c r="U9" s="73"/>
      <c r="V9" s="73"/>
      <c r="W9" s="73"/>
      <c r="X9" s="73"/>
    </row>
    <row r="10" spans="1:24" ht="84.75" customHeight="1" x14ac:dyDescent="0.25">
      <c r="A10" s="76">
        <v>3</v>
      </c>
      <c r="B10" s="77" t="s">
        <v>150</v>
      </c>
      <c r="C10" s="79" t="s">
        <v>151</v>
      </c>
      <c r="D10" s="167"/>
      <c r="E10" s="80"/>
      <c r="F10" s="80"/>
      <c r="G10" s="80"/>
      <c r="H10" s="70"/>
      <c r="I10" s="192"/>
      <c r="J10" s="185"/>
      <c r="K10" s="185"/>
      <c r="L10" s="185"/>
      <c r="M10" s="185"/>
      <c r="N10" s="185"/>
      <c r="O10" s="185"/>
      <c r="P10" s="185"/>
      <c r="Q10" s="73"/>
      <c r="R10" s="73"/>
      <c r="S10" s="73"/>
      <c r="T10" s="73"/>
      <c r="U10" s="73"/>
      <c r="V10" s="73"/>
      <c r="W10" s="73"/>
      <c r="X10" s="73"/>
    </row>
    <row r="11" spans="1:24" ht="113.25" customHeight="1" x14ac:dyDescent="0.25">
      <c r="A11" s="76"/>
      <c r="B11" s="77"/>
      <c r="C11" s="79"/>
      <c r="D11" s="369"/>
      <c r="E11" s="370"/>
      <c r="F11" s="370"/>
      <c r="G11" s="81"/>
      <c r="H11" s="70"/>
      <c r="I11" s="192"/>
      <c r="J11" s="188"/>
      <c r="K11" s="188"/>
      <c r="L11" s="371"/>
      <c r="M11" s="371"/>
      <c r="N11" s="187"/>
      <c r="O11" s="187"/>
      <c r="P11" s="185"/>
      <c r="Q11" s="73"/>
      <c r="R11" s="73"/>
      <c r="S11" s="73"/>
      <c r="T11" s="73"/>
      <c r="U11" s="82"/>
      <c r="V11" s="73"/>
      <c r="W11" s="82"/>
      <c r="X11" s="82"/>
    </row>
    <row r="12" spans="1:24" ht="75" customHeight="1" x14ac:dyDescent="0.25">
      <c r="A12" s="76">
        <v>4</v>
      </c>
      <c r="B12" s="83" t="s">
        <v>152</v>
      </c>
      <c r="C12" s="84" t="s">
        <v>153</v>
      </c>
      <c r="D12" s="360"/>
      <c r="E12" s="203"/>
      <c r="F12" s="203"/>
      <c r="G12" s="203"/>
      <c r="H12" s="70"/>
      <c r="I12" s="192"/>
      <c r="J12" s="186"/>
      <c r="K12" s="186"/>
      <c r="L12" s="186"/>
      <c r="M12" s="186"/>
      <c r="N12" s="186"/>
      <c r="O12" s="186"/>
      <c r="P12" s="186"/>
      <c r="Q12" s="74"/>
      <c r="R12" s="74"/>
      <c r="S12" s="74"/>
      <c r="T12" s="74"/>
      <c r="U12" s="74"/>
      <c r="V12" s="74"/>
      <c r="W12" s="74"/>
      <c r="X12" s="74"/>
    </row>
    <row r="13" spans="1:24" ht="75" customHeight="1" x14ac:dyDescent="0.25">
      <c r="A13" s="76"/>
      <c r="B13" s="169" t="s">
        <v>154</v>
      </c>
      <c r="C13" s="72" t="s">
        <v>155</v>
      </c>
      <c r="D13" s="359"/>
      <c r="E13" s="204"/>
      <c r="F13" s="204"/>
      <c r="G13" s="204"/>
      <c r="H13" s="70"/>
      <c r="I13" s="192"/>
      <c r="J13" s="189"/>
      <c r="K13" s="189"/>
      <c r="L13" s="189"/>
      <c r="M13" s="189"/>
      <c r="N13" s="189"/>
      <c r="O13" s="189"/>
      <c r="P13" s="186"/>
      <c r="Q13" s="74"/>
      <c r="R13" s="85"/>
      <c r="S13" s="85"/>
      <c r="T13" s="85"/>
      <c r="U13" s="85"/>
      <c r="V13" s="85"/>
      <c r="W13" s="85"/>
      <c r="X13" s="85"/>
    </row>
    <row r="14" spans="1:24" ht="75" customHeight="1" x14ac:dyDescent="0.25">
      <c r="A14" s="86">
        <v>6</v>
      </c>
      <c r="B14" s="170" t="s">
        <v>156</v>
      </c>
      <c r="C14" s="165" t="s">
        <v>149</v>
      </c>
      <c r="D14" s="171"/>
      <c r="E14" s="171"/>
      <c r="F14" s="171"/>
      <c r="G14" s="171"/>
      <c r="H14" s="87"/>
      <c r="I14" s="192"/>
      <c r="J14" s="190"/>
      <c r="K14" s="190"/>
      <c r="L14" s="190"/>
      <c r="M14" s="190"/>
      <c r="N14" s="190"/>
      <c r="O14" s="190"/>
      <c r="P14" s="190"/>
      <c r="Q14" s="88"/>
      <c r="R14" s="88"/>
      <c r="S14" s="88"/>
      <c r="T14" s="88"/>
      <c r="U14" s="88"/>
      <c r="V14" s="88"/>
      <c r="W14" s="88"/>
      <c r="X14" s="88"/>
    </row>
    <row r="15" spans="1:24" ht="46.5" customHeight="1" x14ac:dyDescent="0.25">
      <c r="A15" s="479" t="s">
        <v>157</v>
      </c>
      <c r="B15" s="463"/>
      <c r="C15" s="463"/>
      <c r="D15" s="463"/>
      <c r="E15" s="463"/>
      <c r="F15" s="463"/>
      <c r="G15" s="463"/>
      <c r="H15" s="480"/>
      <c r="I15" s="192"/>
      <c r="J15" s="191"/>
      <c r="K15" s="191"/>
      <c r="L15" s="191"/>
      <c r="M15" s="191"/>
      <c r="N15" s="191"/>
      <c r="O15" s="191"/>
      <c r="P15" s="67"/>
    </row>
    <row r="16" spans="1:24" ht="27" customHeight="1" x14ac:dyDescent="0.35">
      <c r="A16" s="481" t="s">
        <v>138</v>
      </c>
      <c r="B16" s="456"/>
      <c r="C16" s="455" t="s">
        <v>139</v>
      </c>
      <c r="D16" s="463"/>
      <c r="E16" s="464"/>
      <c r="F16" s="484" t="s">
        <v>140</v>
      </c>
      <c r="G16" s="464"/>
      <c r="H16" s="89"/>
      <c r="J16" s="192"/>
      <c r="K16" s="191"/>
      <c r="L16" s="191"/>
      <c r="M16" s="191"/>
      <c r="N16" s="191"/>
      <c r="O16" s="191"/>
      <c r="P16" s="67"/>
    </row>
    <row r="17" spans="1:16" ht="36.75" customHeight="1" x14ac:dyDescent="0.35">
      <c r="A17" s="482"/>
      <c r="B17" s="483"/>
      <c r="C17" s="487"/>
      <c r="D17" s="440"/>
      <c r="E17" s="440"/>
      <c r="F17" s="488"/>
      <c r="G17" s="489"/>
      <c r="H17" s="90"/>
      <c r="K17" s="67"/>
      <c r="L17" s="67"/>
      <c r="M17" s="67"/>
      <c r="N17" s="67"/>
      <c r="O17" s="67"/>
      <c r="P17" s="67"/>
    </row>
    <row r="18" spans="1:16" ht="15" customHeight="1" x14ac:dyDescent="0.25">
      <c r="K18" s="67"/>
      <c r="L18" s="67"/>
      <c r="M18" s="67"/>
      <c r="N18" s="67"/>
      <c r="O18" s="67"/>
      <c r="P18" s="67"/>
    </row>
    <row r="19" spans="1:16" ht="15" customHeight="1" x14ac:dyDescent="0.25">
      <c r="K19" s="67"/>
      <c r="L19" s="67"/>
      <c r="M19" s="67"/>
      <c r="N19" s="67"/>
    </row>
    <row r="20" spans="1:16" ht="15" customHeight="1" x14ac:dyDescent="0.25">
      <c r="K20" s="67"/>
      <c r="L20" s="67"/>
      <c r="M20" s="67"/>
      <c r="N20" s="67"/>
    </row>
    <row r="21" spans="1:16" ht="15.75" customHeight="1" x14ac:dyDescent="0.25">
      <c r="K21" s="67"/>
      <c r="L21" s="67"/>
      <c r="M21" s="67"/>
      <c r="N21" s="67"/>
    </row>
    <row r="22" spans="1:16" ht="15.75" customHeight="1" x14ac:dyDescent="0.25">
      <c r="K22" s="67"/>
      <c r="L22" s="67"/>
      <c r="M22" s="67"/>
      <c r="N22" s="67"/>
    </row>
    <row r="23" spans="1:16" ht="15.75" customHeight="1" x14ac:dyDescent="0.25">
      <c r="K23" s="67"/>
      <c r="L23" s="67"/>
      <c r="M23" s="67"/>
      <c r="N23" s="67"/>
    </row>
    <row r="24" spans="1:16" ht="15.75" customHeight="1" x14ac:dyDescent="0.25">
      <c r="K24" s="67"/>
      <c r="L24" s="67"/>
      <c r="M24" s="67"/>
      <c r="N24" s="67"/>
    </row>
    <row r="25" spans="1:16" ht="15.75" customHeight="1" x14ac:dyDescent="0.25">
      <c r="K25" s="67"/>
      <c r="L25" s="67"/>
      <c r="M25" s="67"/>
      <c r="N25" s="67"/>
    </row>
    <row r="26" spans="1:16" ht="15.75" customHeight="1" x14ac:dyDescent="0.25">
      <c r="K26" s="67"/>
      <c r="L26" s="67"/>
      <c r="M26" s="67"/>
      <c r="N26" s="67"/>
    </row>
    <row r="27" spans="1:16" ht="15.75" customHeight="1" x14ac:dyDescent="0.25">
      <c r="K27" s="67"/>
      <c r="L27" s="67"/>
      <c r="M27" s="67"/>
      <c r="N27" s="67"/>
    </row>
    <row r="28" spans="1:16" ht="15.75" customHeight="1" x14ac:dyDescent="0.25">
      <c r="K28" s="67"/>
      <c r="L28" s="67"/>
      <c r="M28" s="67"/>
      <c r="N28" s="67"/>
    </row>
    <row r="29" spans="1:16" ht="15.75" customHeight="1" x14ac:dyDescent="0.25">
      <c r="K29" s="67"/>
      <c r="L29" s="67"/>
      <c r="M29" s="67"/>
      <c r="N29" s="67"/>
    </row>
    <row r="30" spans="1:16" ht="15.75" customHeight="1" x14ac:dyDescent="0.25">
      <c r="K30" s="67"/>
      <c r="L30" s="67"/>
      <c r="M30" s="67"/>
      <c r="N30" s="67"/>
    </row>
    <row r="31" spans="1:16" ht="15.75" customHeight="1" x14ac:dyDescent="0.25">
      <c r="K31" s="67"/>
      <c r="L31" s="67"/>
      <c r="M31" s="67"/>
      <c r="N31" s="67"/>
    </row>
    <row r="32" spans="1:16" ht="15.75" customHeight="1" x14ac:dyDescent="0.25">
      <c r="K32" s="67"/>
      <c r="L32" s="67"/>
      <c r="M32" s="67"/>
      <c r="N32" s="67"/>
    </row>
    <row r="33" spans="11:14" ht="15.75" customHeight="1" x14ac:dyDescent="0.25">
      <c r="K33" s="67"/>
      <c r="L33" s="67"/>
      <c r="M33" s="67"/>
      <c r="N33" s="67"/>
    </row>
    <row r="34" spans="11:14" ht="15.75" customHeight="1" x14ac:dyDescent="0.25">
      <c r="K34" s="67"/>
      <c r="L34" s="67"/>
      <c r="M34" s="67"/>
      <c r="N34" s="67"/>
    </row>
    <row r="35" spans="11:14" ht="15.75" customHeight="1" x14ac:dyDescent="0.25">
      <c r="K35" s="67"/>
      <c r="L35" s="67"/>
      <c r="M35" s="67"/>
      <c r="N35" s="67"/>
    </row>
    <row r="36" spans="11:14" ht="15.75" customHeight="1" x14ac:dyDescent="0.25">
      <c r="K36" s="67"/>
      <c r="L36" s="67"/>
      <c r="M36" s="67"/>
      <c r="N36" s="67"/>
    </row>
    <row r="37" spans="11:14" ht="15.75" customHeight="1" x14ac:dyDescent="0.25">
      <c r="K37" s="67"/>
      <c r="L37" s="67"/>
      <c r="M37" s="67"/>
      <c r="N37" s="67"/>
    </row>
    <row r="38" spans="11:14" ht="15.75" customHeight="1" x14ac:dyDescent="0.25">
      <c r="K38" s="67"/>
      <c r="L38" s="67"/>
      <c r="M38" s="67"/>
      <c r="N38" s="67"/>
    </row>
    <row r="39" spans="11:14" ht="15.75" customHeight="1" x14ac:dyDescent="0.25">
      <c r="K39" s="67"/>
      <c r="L39" s="67"/>
      <c r="M39" s="67"/>
      <c r="N39" s="67"/>
    </row>
    <row r="40" spans="11:14" ht="15.75" customHeight="1" x14ac:dyDescent="0.25">
      <c r="K40" s="67"/>
      <c r="L40" s="67"/>
      <c r="M40" s="67"/>
      <c r="N40" s="67"/>
    </row>
    <row r="41" spans="11:14" ht="15.75" customHeight="1" x14ac:dyDescent="0.25">
      <c r="K41" s="67"/>
      <c r="L41" s="67"/>
      <c r="M41" s="67"/>
      <c r="N41" s="67"/>
    </row>
    <row r="42" spans="11:14" ht="15.75" customHeight="1" x14ac:dyDescent="0.25">
      <c r="K42" s="67"/>
      <c r="L42" s="67"/>
      <c r="M42" s="67"/>
      <c r="N42" s="67"/>
    </row>
    <row r="43" spans="11:14" ht="15.75" customHeight="1" x14ac:dyDescent="0.25">
      <c r="K43" s="67"/>
      <c r="L43" s="67"/>
      <c r="M43" s="67"/>
      <c r="N43" s="67"/>
    </row>
    <row r="44" spans="11:14" ht="15.75" customHeight="1" x14ac:dyDescent="0.25">
      <c r="K44" s="67"/>
      <c r="L44" s="67"/>
      <c r="M44" s="67"/>
      <c r="N44" s="67"/>
    </row>
    <row r="45" spans="11:14" ht="15.75" customHeight="1" x14ac:dyDescent="0.25">
      <c r="K45" s="67"/>
      <c r="L45" s="67"/>
      <c r="M45" s="67"/>
      <c r="N45" s="67"/>
    </row>
    <row r="46" spans="11:14" ht="15.75" customHeight="1" x14ac:dyDescent="0.25">
      <c r="K46" s="67"/>
      <c r="L46" s="67"/>
      <c r="M46" s="67"/>
      <c r="N46" s="67"/>
    </row>
    <row r="47" spans="11:14" ht="15.75" customHeight="1" x14ac:dyDescent="0.25">
      <c r="K47" s="67"/>
      <c r="L47" s="67"/>
      <c r="M47" s="67"/>
      <c r="N47" s="67"/>
    </row>
    <row r="48" spans="11:14" ht="15.75" customHeight="1" x14ac:dyDescent="0.25">
      <c r="K48" s="67"/>
      <c r="L48" s="67"/>
      <c r="M48" s="67"/>
      <c r="N48" s="67"/>
    </row>
    <row r="49" spans="11:14" ht="15.75" customHeight="1" x14ac:dyDescent="0.25">
      <c r="K49" s="67"/>
      <c r="L49" s="67"/>
      <c r="M49" s="67"/>
      <c r="N49" s="67"/>
    </row>
    <row r="50" spans="11:14" ht="15.75" customHeight="1" x14ac:dyDescent="0.25">
      <c r="K50" s="67"/>
      <c r="L50" s="67"/>
      <c r="M50" s="67"/>
      <c r="N50" s="67"/>
    </row>
    <row r="51" spans="11:14" ht="15.75" customHeight="1" x14ac:dyDescent="0.25">
      <c r="K51" s="67"/>
      <c r="L51" s="67"/>
      <c r="M51" s="67"/>
      <c r="N51" s="67"/>
    </row>
    <row r="52" spans="11:14" ht="15.75" customHeight="1" x14ac:dyDescent="0.25">
      <c r="K52" s="67"/>
      <c r="L52" s="67"/>
      <c r="M52" s="67"/>
      <c r="N52" s="67"/>
    </row>
    <row r="53" spans="11:14" ht="15.75" customHeight="1" x14ac:dyDescent="0.25">
      <c r="K53" s="67"/>
      <c r="L53" s="67"/>
      <c r="M53" s="67"/>
      <c r="N53" s="67"/>
    </row>
    <row r="54" spans="11:14" ht="15.75" customHeight="1" x14ac:dyDescent="0.25">
      <c r="K54" s="67"/>
      <c r="L54" s="67"/>
      <c r="M54" s="67"/>
      <c r="N54" s="67"/>
    </row>
    <row r="55" spans="11:14" ht="15.75" customHeight="1" x14ac:dyDescent="0.25">
      <c r="K55" s="67"/>
      <c r="L55" s="67"/>
      <c r="M55" s="67"/>
      <c r="N55" s="67"/>
    </row>
    <row r="56" spans="11:14" ht="15.75" customHeight="1" x14ac:dyDescent="0.25">
      <c r="K56" s="67"/>
      <c r="L56" s="67"/>
      <c r="M56" s="67"/>
      <c r="N56" s="67"/>
    </row>
    <row r="57" spans="11:14" ht="15.75" customHeight="1" x14ac:dyDescent="0.25">
      <c r="K57" s="67"/>
      <c r="L57" s="67"/>
      <c r="M57" s="67"/>
      <c r="N57" s="67"/>
    </row>
    <row r="58" spans="11:14" ht="15.75" customHeight="1" x14ac:dyDescent="0.25">
      <c r="K58" s="67"/>
      <c r="L58" s="67"/>
      <c r="M58" s="67"/>
      <c r="N58" s="67"/>
    </row>
    <row r="59" spans="11:14" ht="15.75" customHeight="1" x14ac:dyDescent="0.25">
      <c r="K59" s="67"/>
      <c r="L59" s="67"/>
      <c r="M59" s="67"/>
      <c r="N59" s="67"/>
    </row>
    <row r="60" spans="11:14" ht="15.75" customHeight="1" x14ac:dyDescent="0.25">
      <c r="K60" s="67"/>
      <c r="L60" s="67"/>
      <c r="M60" s="67"/>
      <c r="N60" s="67"/>
    </row>
    <row r="61" spans="11:14" ht="15.75" customHeight="1" x14ac:dyDescent="0.25">
      <c r="K61" s="67"/>
      <c r="L61" s="67"/>
      <c r="M61" s="67"/>
      <c r="N61" s="67"/>
    </row>
    <row r="62" spans="11:14" ht="15.75" customHeight="1" x14ac:dyDescent="0.25">
      <c r="K62" s="67"/>
      <c r="L62" s="67"/>
      <c r="M62" s="67"/>
      <c r="N62" s="67"/>
    </row>
    <row r="63" spans="11:14" ht="15.75" customHeight="1" x14ac:dyDescent="0.25">
      <c r="K63" s="67"/>
      <c r="L63" s="67"/>
      <c r="M63" s="67"/>
      <c r="N63" s="67"/>
    </row>
    <row r="64" spans="11:14" ht="15.75" customHeight="1" x14ac:dyDescent="0.25">
      <c r="K64" s="67"/>
      <c r="L64" s="67"/>
      <c r="M64" s="67"/>
      <c r="N64" s="67"/>
    </row>
    <row r="65" spans="11:14" ht="15.75" customHeight="1" x14ac:dyDescent="0.25">
      <c r="K65" s="67"/>
      <c r="L65" s="67"/>
      <c r="M65" s="67"/>
      <c r="N65" s="67"/>
    </row>
    <row r="66" spans="11:14" ht="15.75" customHeight="1" x14ac:dyDescent="0.25">
      <c r="K66" s="67"/>
      <c r="L66" s="67"/>
      <c r="M66" s="67"/>
      <c r="N66" s="67"/>
    </row>
    <row r="67" spans="11:14" ht="15.75" customHeight="1" x14ac:dyDescent="0.25">
      <c r="K67" s="67"/>
      <c r="L67" s="67"/>
      <c r="M67" s="67"/>
      <c r="N67" s="67"/>
    </row>
    <row r="68" spans="11:14" ht="15.75" customHeight="1" x14ac:dyDescent="0.25">
      <c r="K68" s="67"/>
      <c r="L68" s="67"/>
      <c r="M68" s="67"/>
      <c r="N68" s="67"/>
    </row>
    <row r="69" spans="11:14" ht="15.75" customHeight="1" x14ac:dyDescent="0.25">
      <c r="K69" s="67"/>
      <c r="L69" s="67"/>
      <c r="M69" s="67"/>
      <c r="N69" s="67"/>
    </row>
    <row r="70" spans="11:14" ht="15.75" customHeight="1" x14ac:dyDescent="0.25">
      <c r="K70" s="67"/>
      <c r="L70" s="67"/>
      <c r="M70" s="67"/>
      <c r="N70" s="67"/>
    </row>
    <row r="71" spans="11:14" ht="15.75" customHeight="1" x14ac:dyDescent="0.25">
      <c r="K71" s="67"/>
      <c r="L71" s="67"/>
      <c r="M71" s="67"/>
      <c r="N71" s="67"/>
    </row>
    <row r="72" spans="11:14" ht="15.75" customHeight="1" x14ac:dyDescent="0.25">
      <c r="K72" s="67"/>
      <c r="L72" s="67"/>
      <c r="M72" s="67"/>
      <c r="N72" s="67"/>
    </row>
    <row r="73" spans="11:14" ht="15.75" customHeight="1" x14ac:dyDescent="0.25">
      <c r="K73" s="67"/>
      <c r="L73" s="67"/>
      <c r="M73" s="67"/>
      <c r="N73" s="67"/>
    </row>
    <row r="74" spans="11:14" ht="15.75" customHeight="1" x14ac:dyDescent="0.25">
      <c r="K74" s="67"/>
      <c r="L74" s="67"/>
      <c r="M74" s="67"/>
      <c r="N74" s="67"/>
    </row>
    <row r="75" spans="11:14" ht="15.75" customHeight="1" x14ac:dyDescent="0.25">
      <c r="K75" s="67"/>
      <c r="L75" s="67"/>
      <c r="M75" s="67"/>
      <c r="N75" s="67"/>
    </row>
    <row r="76" spans="11:14" ht="15.75" customHeight="1" x14ac:dyDescent="0.25">
      <c r="K76" s="67"/>
      <c r="L76" s="67"/>
      <c r="M76" s="67"/>
      <c r="N76" s="67"/>
    </row>
    <row r="77" spans="11:14" ht="15.75" customHeight="1" x14ac:dyDescent="0.25">
      <c r="K77" s="67"/>
      <c r="L77" s="67"/>
      <c r="M77" s="67"/>
      <c r="N77" s="67"/>
    </row>
    <row r="78" spans="11:14" ht="15.75" customHeight="1" x14ac:dyDescent="0.25">
      <c r="K78" s="67"/>
      <c r="L78" s="67"/>
      <c r="M78" s="67"/>
      <c r="N78" s="67"/>
    </row>
    <row r="79" spans="11:14" ht="15.75" customHeight="1" x14ac:dyDescent="0.25">
      <c r="K79" s="67"/>
      <c r="L79" s="67"/>
      <c r="M79" s="67"/>
      <c r="N79" s="67"/>
    </row>
    <row r="80" spans="11:14" ht="15.75" customHeight="1" x14ac:dyDescent="0.25">
      <c r="K80" s="67"/>
      <c r="L80" s="67"/>
      <c r="M80" s="67"/>
      <c r="N80" s="67"/>
    </row>
    <row r="81" spans="11:14" ht="15.75" customHeight="1" x14ac:dyDescent="0.25">
      <c r="K81" s="67"/>
      <c r="L81" s="67"/>
      <c r="M81" s="67"/>
      <c r="N81" s="67"/>
    </row>
    <row r="82" spans="11:14" ht="15.75" customHeight="1" x14ac:dyDescent="0.25">
      <c r="K82" s="67"/>
      <c r="L82" s="67"/>
      <c r="M82" s="67"/>
      <c r="N82" s="67"/>
    </row>
    <row r="83" spans="11:14" ht="15.75" customHeight="1" x14ac:dyDescent="0.25">
      <c r="K83" s="67"/>
      <c r="L83" s="67"/>
      <c r="M83" s="67"/>
      <c r="N83" s="67"/>
    </row>
    <row r="84" spans="11:14" ht="15.75" customHeight="1" x14ac:dyDescent="0.25">
      <c r="K84" s="67"/>
      <c r="L84" s="67"/>
      <c r="M84" s="67"/>
      <c r="N84" s="67"/>
    </row>
    <row r="85" spans="11:14" ht="15.75" customHeight="1" x14ac:dyDescent="0.25">
      <c r="K85" s="67"/>
      <c r="L85" s="67"/>
      <c r="M85" s="67"/>
      <c r="N85" s="67"/>
    </row>
    <row r="86" spans="11:14" ht="15.75" customHeight="1" x14ac:dyDescent="0.25">
      <c r="K86" s="67"/>
      <c r="L86" s="67"/>
      <c r="M86" s="67"/>
      <c r="N86" s="67"/>
    </row>
    <row r="87" spans="11:14" ht="15.75" customHeight="1" x14ac:dyDescent="0.25">
      <c r="K87" s="67"/>
      <c r="L87" s="67"/>
      <c r="M87" s="67"/>
      <c r="N87" s="67"/>
    </row>
    <row r="88" spans="11:14" ht="15.75" customHeight="1" x14ac:dyDescent="0.25">
      <c r="K88" s="67"/>
      <c r="L88" s="67"/>
      <c r="M88" s="67"/>
      <c r="N88" s="67"/>
    </row>
    <row r="89" spans="11:14" ht="15.75" customHeight="1" x14ac:dyDescent="0.25">
      <c r="K89" s="67"/>
      <c r="L89" s="67"/>
      <c r="M89" s="67"/>
      <c r="N89" s="67"/>
    </row>
    <row r="90" spans="11:14" ht="15.75" customHeight="1" x14ac:dyDescent="0.25">
      <c r="K90" s="67"/>
      <c r="L90" s="67"/>
      <c r="M90" s="67"/>
      <c r="N90" s="67"/>
    </row>
    <row r="91" spans="11:14" ht="15.75" customHeight="1" x14ac:dyDescent="0.25">
      <c r="K91" s="67"/>
      <c r="L91" s="67"/>
      <c r="M91" s="67"/>
      <c r="N91" s="67"/>
    </row>
    <row r="92" spans="11:14" ht="15.75" customHeight="1" x14ac:dyDescent="0.25">
      <c r="K92" s="67"/>
      <c r="L92" s="67"/>
      <c r="M92" s="67"/>
      <c r="N92" s="67"/>
    </row>
    <row r="93" spans="11:14" ht="15.75" customHeight="1" x14ac:dyDescent="0.25">
      <c r="K93" s="67"/>
      <c r="L93" s="67"/>
      <c r="M93" s="67"/>
      <c r="N93" s="67"/>
    </row>
    <row r="94" spans="11:14" ht="15.75" customHeight="1" x14ac:dyDescent="0.25">
      <c r="K94" s="67"/>
      <c r="L94" s="67"/>
      <c r="M94" s="67"/>
      <c r="N94" s="67"/>
    </row>
    <row r="95" spans="11:14" ht="15.75" customHeight="1" x14ac:dyDescent="0.25">
      <c r="K95" s="67"/>
      <c r="L95" s="67"/>
      <c r="M95" s="67"/>
      <c r="N95" s="67"/>
    </row>
    <row r="96" spans="11:14" ht="15.75" customHeight="1" x14ac:dyDescent="0.25">
      <c r="K96" s="67"/>
      <c r="L96" s="67"/>
      <c r="M96" s="67"/>
      <c r="N96" s="67"/>
    </row>
    <row r="97" spans="11:14" ht="15.75" customHeight="1" x14ac:dyDescent="0.25">
      <c r="K97" s="67"/>
      <c r="L97" s="67"/>
      <c r="M97" s="67"/>
      <c r="N97" s="67"/>
    </row>
    <row r="98" spans="11:14" ht="15.75" customHeight="1" x14ac:dyDescent="0.25">
      <c r="K98" s="67"/>
      <c r="L98" s="67"/>
      <c r="M98" s="67"/>
      <c r="N98" s="67"/>
    </row>
    <row r="99" spans="11:14" ht="15.75" customHeight="1" x14ac:dyDescent="0.25">
      <c r="K99" s="67"/>
      <c r="L99" s="67"/>
      <c r="M99" s="67"/>
      <c r="N99" s="67"/>
    </row>
    <row r="100" spans="11:14" ht="15.75" customHeight="1" x14ac:dyDescent="0.25">
      <c r="K100" s="67"/>
      <c r="L100" s="67"/>
      <c r="M100" s="67"/>
      <c r="N100" s="67"/>
    </row>
    <row r="101" spans="11:14" ht="15.75" customHeight="1" x14ac:dyDescent="0.25">
      <c r="K101" s="67"/>
      <c r="L101" s="67"/>
      <c r="M101" s="67"/>
      <c r="N101" s="67"/>
    </row>
    <row r="102" spans="11:14" ht="15.75" customHeight="1" x14ac:dyDescent="0.25">
      <c r="K102" s="67"/>
      <c r="L102" s="67"/>
      <c r="M102" s="67"/>
      <c r="N102" s="67"/>
    </row>
    <row r="103" spans="11:14" ht="15.75" customHeight="1" x14ac:dyDescent="0.25"/>
    <row r="104" spans="11:14" ht="15.75" customHeight="1" x14ac:dyDescent="0.25"/>
    <row r="105" spans="11:14" ht="15.75" customHeight="1" x14ac:dyDescent="0.25"/>
    <row r="106" spans="11:14" ht="15.75" customHeight="1" x14ac:dyDescent="0.25"/>
    <row r="107" spans="11:14" ht="15.75" customHeight="1" x14ac:dyDescent="0.25"/>
    <row r="108" spans="11:14" ht="15.75" customHeight="1" x14ac:dyDescent="0.25"/>
    <row r="109" spans="11:14" ht="15.75" customHeight="1" x14ac:dyDescent="0.25"/>
    <row r="110" spans="11:14" ht="15.75" customHeight="1" x14ac:dyDescent="0.25"/>
    <row r="111" spans="11:14" ht="15.75" customHeight="1" x14ac:dyDescent="0.25"/>
    <row r="112" spans="11:1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2:H2"/>
    <mergeCell ref="C17:E17"/>
    <mergeCell ref="F17:G17"/>
    <mergeCell ref="C16:E16"/>
    <mergeCell ref="A4:H4"/>
    <mergeCell ref="A3:H3"/>
    <mergeCell ref="D5:F5"/>
    <mergeCell ref="A15:H15"/>
    <mergeCell ref="A16:B17"/>
    <mergeCell ref="F16:G1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opLeftCell="A29" zoomScale="50" zoomScaleNormal="50" workbookViewId="0">
      <selection activeCell="C31" sqref="C31"/>
    </sheetView>
  </sheetViews>
  <sheetFormatPr defaultColWidth="12.5546875" defaultRowHeight="15" customHeight="1" x14ac:dyDescent="0.25"/>
  <cols>
    <col min="1" max="1" width="9.109375" customWidth="1"/>
    <col min="2" max="2" width="14.44140625" customWidth="1"/>
    <col min="3" max="3" width="15.6640625" customWidth="1"/>
    <col min="4" max="4" width="10.6640625" customWidth="1"/>
    <col min="5" max="5" width="15.6640625" customWidth="1"/>
    <col min="6" max="6" width="10.6640625" customWidth="1"/>
    <col min="7" max="7" width="15.6640625" customWidth="1"/>
    <col min="8" max="8" width="10.6640625" customWidth="1"/>
    <col min="9" max="9" width="13.6640625" customWidth="1"/>
    <col min="10" max="10" width="10.6640625" customWidth="1"/>
    <col min="12" max="12" width="49.5546875" customWidth="1"/>
    <col min="13" max="13" width="17.5546875" customWidth="1"/>
    <col min="14" max="14" width="21" customWidth="1"/>
    <col min="15" max="15" width="21.33203125" customWidth="1"/>
    <col min="16" max="16" width="22.109375" customWidth="1"/>
  </cols>
  <sheetData>
    <row r="1" spans="1:16" ht="40.5" customHeight="1" x14ac:dyDescent="0.25"/>
    <row r="2" spans="1:16" ht="24.75" customHeight="1" x14ac:dyDescent="0.25">
      <c r="A2" s="496" t="s">
        <v>158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51"/>
      <c r="M2" s="91"/>
      <c r="N2" s="91"/>
      <c r="O2" s="91"/>
      <c r="P2" s="91"/>
    </row>
    <row r="3" spans="1:16" ht="24.75" customHeight="1" x14ac:dyDescent="0.25">
      <c r="A3" s="493" t="s">
        <v>125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94"/>
      <c r="M3" s="92"/>
      <c r="N3" s="92"/>
      <c r="O3" s="92"/>
      <c r="P3" s="92"/>
    </row>
    <row r="4" spans="1:16" ht="24.75" customHeight="1" x14ac:dyDescent="0.25">
      <c r="A4" s="498" t="s">
        <v>159</v>
      </c>
      <c r="B4" s="469"/>
      <c r="C4" s="469"/>
      <c r="D4" s="469"/>
      <c r="E4" s="469"/>
      <c r="F4" s="469"/>
      <c r="G4" s="469"/>
      <c r="H4" s="469"/>
      <c r="I4" s="469"/>
      <c r="J4" s="469"/>
      <c r="K4" s="469"/>
      <c r="L4" s="435"/>
      <c r="M4" s="93"/>
      <c r="N4" s="93"/>
      <c r="O4" s="93"/>
      <c r="P4" s="93"/>
    </row>
    <row r="5" spans="1:16" ht="51" customHeight="1" x14ac:dyDescent="0.25">
      <c r="A5" s="492" t="s">
        <v>160</v>
      </c>
      <c r="B5" s="458"/>
      <c r="C5" s="492" t="s">
        <v>89</v>
      </c>
      <c r="D5" s="458"/>
      <c r="E5" s="492" t="s">
        <v>88</v>
      </c>
      <c r="F5" s="458"/>
      <c r="G5" s="492" t="s">
        <v>90</v>
      </c>
      <c r="H5" s="458"/>
      <c r="I5" s="492" t="s">
        <v>91</v>
      </c>
      <c r="J5" s="458"/>
      <c r="K5" s="172" t="s">
        <v>161</v>
      </c>
      <c r="L5" s="497" t="s">
        <v>162</v>
      </c>
      <c r="M5" s="490" t="s">
        <v>163</v>
      </c>
      <c r="N5" s="490" t="s">
        <v>164</v>
      </c>
      <c r="O5" s="490" t="s">
        <v>165</v>
      </c>
      <c r="P5" s="490" t="s">
        <v>166</v>
      </c>
    </row>
    <row r="6" spans="1:16" ht="25.5" customHeight="1" x14ac:dyDescent="0.25">
      <c r="A6" s="495" t="s">
        <v>167</v>
      </c>
      <c r="B6" s="464"/>
      <c r="C6" s="491">
        <v>200</v>
      </c>
      <c r="D6" s="464"/>
      <c r="E6" s="491">
        <v>200</v>
      </c>
      <c r="F6" s="464"/>
      <c r="G6" s="491">
        <v>200</v>
      </c>
      <c r="H6" s="464"/>
      <c r="I6" s="491">
        <v>200</v>
      </c>
      <c r="J6" s="464"/>
      <c r="K6" s="94">
        <f>SUM(C6:J6)</f>
        <v>800</v>
      </c>
      <c r="L6" s="446"/>
      <c r="M6" s="446"/>
      <c r="N6" s="446"/>
      <c r="O6" s="446"/>
      <c r="P6" s="446"/>
    </row>
    <row r="7" spans="1:16" ht="25.5" customHeight="1" x14ac:dyDescent="0.25">
      <c r="A7" s="499" t="s">
        <v>168</v>
      </c>
      <c r="B7" s="456"/>
      <c r="C7" s="490" t="s">
        <v>169</v>
      </c>
      <c r="D7" s="464"/>
      <c r="E7" s="490" t="s">
        <v>169</v>
      </c>
      <c r="F7" s="464"/>
      <c r="G7" s="490" t="s">
        <v>169</v>
      </c>
      <c r="H7" s="464"/>
      <c r="I7" s="490" t="s">
        <v>169</v>
      </c>
      <c r="J7" s="464"/>
      <c r="K7" s="499" t="s">
        <v>149</v>
      </c>
      <c r="L7" s="446"/>
      <c r="M7" s="446"/>
      <c r="N7" s="446"/>
      <c r="O7" s="446"/>
      <c r="P7" s="446"/>
    </row>
    <row r="8" spans="1:16" ht="30" customHeight="1" x14ac:dyDescent="0.25">
      <c r="A8" s="500"/>
      <c r="B8" s="461"/>
      <c r="C8" s="95">
        <v>49073</v>
      </c>
      <c r="D8" s="430" t="s">
        <v>170</v>
      </c>
      <c r="E8" s="95">
        <v>41565</v>
      </c>
      <c r="F8" s="430" t="s">
        <v>170</v>
      </c>
      <c r="G8" s="95">
        <v>34765</v>
      </c>
      <c r="H8" s="431" t="s">
        <v>170</v>
      </c>
      <c r="I8" s="95">
        <v>28017</v>
      </c>
      <c r="J8" s="173" t="s">
        <v>170</v>
      </c>
      <c r="K8" s="446"/>
      <c r="L8" s="447"/>
      <c r="M8" s="447"/>
      <c r="N8" s="447"/>
      <c r="O8" s="447"/>
      <c r="P8" s="447"/>
    </row>
    <row r="9" spans="1:16" ht="49.5" customHeight="1" x14ac:dyDescent="0.25">
      <c r="A9" s="96">
        <v>1</v>
      </c>
      <c r="B9" s="174" t="s">
        <v>171</v>
      </c>
      <c r="C9" s="95">
        <v>49167</v>
      </c>
      <c r="D9" s="97">
        <f t="shared" ref="D9:D38" si="0">C9-C8</f>
        <v>94</v>
      </c>
      <c r="E9" s="95">
        <v>41634</v>
      </c>
      <c r="F9" s="97">
        <f t="shared" ref="F9:F38" si="1">E9-E8</f>
        <v>69</v>
      </c>
      <c r="G9" s="95">
        <v>34819</v>
      </c>
      <c r="H9" s="175">
        <f t="shared" ref="H9:H38" si="2">G9-G8</f>
        <v>54</v>
      </c>
      <c r="I9" s="95">
        <v>28086</v>
      </c>
      <c r="J9" s="98">
        <f t="shared" ref="J9:J38" si="3">I9-I8</f>
        <v>69</v>
      </c>
      <c r="K9" s="99">
        <f t="shared" ref="K9:K38" si="4">D9+F9+H9+J9</f>
        <v>286</v>
      </c>
      <c r="L9" s="100"/>
      <c r="M9" s="282"/>
      <c r="N9" s="102"/>
      <c r="O9" s="176"/>
      <c r="P9" s="176"/>
    </row>
    <row r="10" spans="1:16" ht="49.5" customHeight="1" x14ac:dyDescent="0.25">
      <c r="A10" s="103">
        <v>2</v>
      </c>
      <c r="B10" s="174" t="s">
        <v>172</v>
      </c>
      <c r="C10" s="95">
        <v>49251</v>
      </c>
      <c r="D10" s="104">
        <f t="shared" si="0"/>
        <v>84</v>
      </c>
      <c r="E10" s="95">
        <v>41634</v>
      </c>
      <c r="F10" s="104">
        <f t="shared" si="1"/>
        <v>0</v>
      </c>
      <c r="G10" s="95">
        <v>34859</v>
      </c>
      <c r="H10" s="97">
        <f t="shared" si="2"/>
        <v>40</v>
      </c>
      <c r="I10" s="95">
        <v>28086</v>
      </c>
      <c r="J10" s="97">
        <f t="shared" si="3"/>
        <v>0</v>
      </c>
      <c r="K10" s="99">
        <f t="shared" si="4"/>
        <v>124</v>
      </c>
      <c r="L10" s="178"/>
      <c r="M10" s="283"/>
      <c r="N10" s="106" t="s">
        <v>112</v>
      </c>
      <c r="O10" s="176"/>
      <c r="P10" s="176" t="s">
        <v>173</v>
      </c>
    </row>
    <row r="11" spans="1:16" ht="57.75" customHeight="1" x14ac:dyDescent="0.25">
      <c r="A11" s="96">
        <v>3</v>
      </c>
      <c r="B11" s="174" t="s">
        <v>174</v>
      </c>
      <c r="C11" s="95">
        <v>49362</v>
      </c>
      <c r="D11" s="97">
        <f t="shared" si="0"/>
        <v>111</v>
      </c>
      <c r="E11" s="95">
        <v>41720</v>
      </c>
      <c r="F11" s="97">
        <f t="shared" si="1"/>
        <v>86</v>
      </c>
      <c r="G11" s="95">
        <v>34859</v>
      </c>
      <c r="H11" s="177">
        <f t="shared" si="2"/>
        <v>0</v>
      </c>
      <c r="I11" s="95">
        <v>28136</v>
      </c>
      <c r="J11" s="98">
        <f t="shared" si="3"/>
        <v>50</v>
      </c>
      <c r="K11" s="99">
        <f t="shared" si="4"/>
        <v>247</v>
      </c>
      <c r="L11" s="178"/>
      <c r="M11" s="284"/>
      <c r="N11" s="281"/>
      <c r="O11" s="176" t="s">
        <v>173</v>
      </c>
      <c r="P11" s="179"/>
    </row>
    <row r="12" spans="1:16" ht="49.5" customHeight="1" x14ac:dyDescent="0.25">
      <c r="A12" s="96">
        <v>4</v>
      </c>
      <c r="B12" s="174" t="s">
        <v>175</v>
      </c>
      <c r="C12" s="95">
        <v>49462</v>
      </c>
      <c r="D12" s="97">
        <f t="shared" si="0"/>
        <v>100</v>
      </c>
      <c r="E12" s="95">
        <v>41772</v>
      </c>
      <c r="F12" s="97">
        <f t="shared" si="1"/>
        <v>52</v>
      </c>
      <c r="G12" s="95">
        <v>34916</v>
      </c>
      <c r="H12" s="97">
        <f t="shared" si="2"/>
        <v>57</v>
      </c>
      <c r="I12" s="95">
        <v>28226</v>
      </c>
      <c r="J12" s="97">
        <f t="shared" si="3"/>
        <v>90</v>
      </c>
      <c r="K12" s="99">
        <f t="shared" si="4"/>
        <v>299</v>
      </c>
      <c r="L12" s="178"/>
      <c r="M12" s="105"/>
      <c r="N12" s="108"/>
      <c r="O12" s="176"/>
      <c r="P12" s="180"/>
    </row>
    <row r="13" spans="1:16" ht="51.75" customHeight="1" x14ac:dyDescent="0.25">
      <c r="A13" s="96">
        <v>5</v>
      </c>
      <c r="B13" s="174" t="s">
        <v>176</v>
      </c>
      <c r="C13" s="95">
        <v>49512</v>
      </c>
      <c r="D13" s="97">
        <f t="shared" si="0"/>
        <v>50</v>
      </c>
      <c r="E13" s="95">
        <v>41827</v>
      </c>
      <c r="F13" s="97">
        <f t="shared" si="1"/>
        <v>55</v>
      </c>
      <c r="G13" s="95">
        <v>34971</v>
      </c>
      <c r="H13" s="97">
        <f t="shared" si="2"/>
        <v>55</v>
      </c>
      <c r="I13" s="95">
        <v>28308</v>
      </c>
      <c r="J13" s="97">
        <f t="shared" si="3"/>
        <v>82</v>
      </c>
      <c r="K13" s="99">
        <f t="shared" si="4"/>
        <v>242</v>
      </c>
      <c r="L13" s="100"/>
      <c r="M13" s="181"/>
      <c r="N13" s="182"/>
      <c r="O13" s="176"/>
      <c r="P13" s="107"/>
    </row>
    <row r="14" spans="1:16" ht="49.5" customHeight="1" x14ac:dyDescent="0.25">
      <c r="A14" s="96">
        <v>6</v>
      </c>
      <c r="B14" s="174" t="s">
        <v>177</v>
      </c>
      <c r="C14" s="95">
        <v>49560</v>
      </c>
      <c r="D14" s="97">
        <f t="shared" si="0"/>
        <v>48</v>
      </c>
      <c r="E14" s="95">
        <v>41915</v>
      </c>
      <c r="F14" s="97">
        <f t="shared" si="1"/>
        <v>88</v>
      </c>
      <c r="G14" s="95">
        <v>35038</v>
      </c>
      <c r="H14" s="97">
        <f t="shared" si="2"/>
        <v>67</v>
      </c>
      <c r="I14" s="95">
        <v>28353</v>
      </c>
      <c r="J14" s="97">
        <f t="shared" si="3"/>
        <v>45</v>
      </c>
      <c r="K14" s="99">
        <f t="shared" si="4"/>
        <v>248</v>
      </c>
      <c r="L14" s="109"/>
      <c r="M14" s="110"/>
      <c r="N14" s="111"/>
      <c r="O14" s="111" t="s">
        <v>178</v>
      </c>
      <c r="P14" s="176"/>
    </row>
    <row r="15" spans="1:16" ht="49.5" customHeight="1" x14ac:dyDescent="0.25">
      <c r="A15" s="96">
        <v>7</v>
      </c>
      <c r="B15" s="174" t="s">
        <v>179</v>
      </c>
      <c r="C15" s="95">
        <v>49560</v>
      </c>
      <c r="D15" s="97">
        <f t="shared" si="0"/>
        <v>0</v>
      </c>
      <c r="E15" s="95">
        <v>41915</v>
      </c>
      <c r="F15" s="97">
        <f t="shared" si="1"/>
        <v>0</v>
      </c>
      <c r="G15" s="95">
        <v>35092</v>
      </c>
      <c r="H15" s="97">
        <f t="shared" si="2"/>
        <v>54</v>
      </c>
      <c r="I15" s="95">
        <v>28353</v>
      </c>
      <c r="J15" s="97">
        <f t="shared" si="3"/>
        <v>0</v>
      </c>
      <c r="K15" s="99">
        <f t="shared" si="4"/>
        <v>54</v>
      </c>
      <c r="L15" s="100"/>
      <c r="M15" s="106" t="s">
        <v>112</v>
      </c>
      <c r="N15" s="106" t="s">
        <v>112</v>
      </c>
      <c r="O15" s="111" t="s">
        <v>178</v>
      </c>
      <c r="P15" s="106" t="s">
        <v>112</v>
      </c>
    </row>
    <row r="16" spans="1:16" ht="49.5" customHeight="1" x14ac:dyDescent="0.25">
      <c r="A16" s="96">
        <v>8</v>
      </c>
      <c r="B16" s="174" t="s">
        <v>171</v>
      </c>
      <c r="C16" s="95">
        <v>49641</v>
      </c>
      <c r="D16" s="97">
        <f t="shared" si="0"/>
        <v>81</v>
      </c>
      <c r="E16" s="95">
        <v>41973</v>
      </c>
      <c r="F16" s="97">
        <f t="shared" si="1"/>
        <v>58</v>
      </c>
      <c r="G16" s="95">
        <v>35092</v>
      </c>
      <c r="H16" s="97">
        <f t="shared" si="2"/>
        <v>0</v>
      </c>
      <c r="I16" s="95">
        <v>28353</v>
      </c>
      <c r="J16" s="97">
        <f t="shared" si="3"/>
        <v>0</v>
      </c>
      <c r="K16" s="99">
        <f t="shared" si="4"/>
        <v>139</v>
      </c>
      <c r="L16" s="113"/>
      <c r="M16" s="181"/>
      <c r="N16" s="105"/>
      <c r="O16" s="106" t="s">
        <v>112</v>
      </c>
      <c r="P16" s="176" t="s">
        <v>173</v>
      </c>
    </row>
    <row r="17" spans="1:16" ht="49.5" customHeight="1" x14ac:dyDescent="0.25">
      <c r="A17" s="96">
        <v>9</v>
      </c>
      <c r="B17" s="174" t="s">
        <v>172</v>
      </c>
      <c r="C17" s="95">
        <v>49673</v>
      </c>
      <c r="D17" s="97">
        <f t="shared" si="0"/>
        <v>32</v>
      </c>
      <c r="E17" s="95">
        <v>41973</v>
      </c>
      <c r="F17" s="97">
        <f t="shared" si="1"/>
        <v>0</v>
      </c>
      <c r="G17" s="95">
        <v>35092</v>
      </c>
      <c r="H17" s="97">
        <f t="shared" si="2"/>
        <v>0</v>
      </c>
      <c r="I17" s="95">
        <v>28434</v>
      </c>
      <c r="J17" s="97">
        <f t="shared" si="3"/>
        <v>81</v>
      </c>
      <c r="K17" s="99">
        <f t="shared" si="4"/>
        <v>113</v>
      </c>
      <c r="L17" s="100"/>
      <c r="M17" s="105"/>
      <c r="N17" s="176" t="s">
        <v>173</v>
      </c>
      <c r="O17" s="176" t="s">
        <v>173</v>
      </c>
      <c r="P17" s="111" t="s">
        <v>178</v>
      </c>
    </row>
    <row r="18" spans="1:16" ht="49.5" customHeight="1" x14ac:dyDescent="0.25">
      <c r="A18" s="96">
        <v>10</v>
      </c>
      <c r="B18" s="174" t="s">
        <v>174</v>
      </c>
      <c r="C18" s="95">
        <v>49688</v>
      </c>
      <c r="D18" s="97">
        <f t="shared" si="0"/>
        <v>15</v>
      </c>
      <c r="E18" s="95">
        <v>42012</v>
      </c>
      <c r="F18" s="97">
        <f t="shared" si="1"/>
        <v>39</v>
      </c>
      <c r="G18" s="95">
        <v>35092</v>
      </c>
      <c r="H18" s="177">
        <f t="shared" si="2"/>
        <v>0</v>
      </c>
      <c r="I18" s="95">
        <v>28525</v>
      </c>
      <c r="J18" s="98">
        <f t="shared" si="3"/>
        <v>91</v>
      </c>
      <c r="K18" s="99">
        <f t="shared" si="4"/>
        <v>145</v>
      </c>
      <c r="L18" s="100"/>
      <c r="M18" s="106"/>
      <c r="N18" s="106" t="e">
        <v>#VALUE!</v>
      </c>
      <c r="O18" s="176" t="s">
        <v>173</v>
      </c>
      <c r="P18" s="106"/>
    </row>
    <row r="19" spans="1:16" ht="49.5" customHeight="1" x14ac:dyDescent="0.25">
      <c r="A19" s="96">
        <v>11</v>
      </c>
      <c r="B19" s="174" t="s">
        <v>175</v>
      </c>
      <c r="C19" s="95">
        <v>49760</v>
      </c>
      <c r="D19" s="97">
        <f t="shared" si="0"/>
        <v>72</v>
      </c>
      <c r="E19" s="95">
        <v>42090</v>
      </c>
      <c r="F19" s="97">
        <f t="shared" si="1"/>
        <v>78</v>
      </c>
      <c r="G19" s="95">
        <v>35129</v>
      </c>
      <c r="H19" s="97">
        <f t="shared" si="2"/>
        <v>37</v>
      </c>
      <c r="I19" s="95">
        <v>28533</v>
      </c>
      <c r="J19" s="97">
        <f t="shared" si="3"/>
        <v>8</v>
      </c>
      <c r="K19" s="99">
        <f t="shared" si="4"/>
        <v>195</v>
      </c>
      <c r="L19" s="100"/>
      <c r="M19" s="105"/>
      <c r="N19" s="105"/>
      <c r="O19" s="182"/>
      <c r="P19" s="182"/>
    </row>
    <row r="20" spans="1:16" ht="49.5" customHeight="1" x14ac:dyDescent="0.25">
      <c r="A20" s="96">
        <v>12</v>
      </c>
      <c r="B20" s="174" t="s">
        <v>176</v>
      </c>
      <c r="C20" s="95">
        <v>49870</v>
      </c>
      <c r="D20" s="97">
        <f t="shared" si="0"/>
        <v>110</v>
      </c>
      <c r="E20" s="95">
        <v>42165</v>
      </c>
      <c r="F20" s="97">
        <f t="shared" si="1"/>
        <v>75</v>
      </c>
      <c r="G20" s="95">
        <v>35188</v>
      </c>
      <c r="H20" s="97">
        <f t="shared" si="2"/>
        <v>59</v>
      </c>
      <c r="I20" s="95">
        <v>28588</v>
      </c>
      <c r="J20" s="97">
        <f t="shared" si="3"/>
        <v>55</v>
      </c>
      <c r="K20" s="99">
        <f t="shared" si="4"/>
        <v>299</v>
      </c>
      <c r="L20" s="100"/>
      <c r="M20" s="111" t="s">
        <v>178</v>
      </c>
      <c r="N20" s="176"/>
      <c r="O20" s="111" t="s">
        <v>178</v>
      </c>
      <c r="P20" s="107"/>
    </row>
    <row r="21" spans="1:16" ht="60" customHeight="1" x14ac:dyDescent="0.25">
      <c r="A21" s="96">
        <v>13</v>
      </c>
      <c r="B21" s="174" t="s">
        <v>177</v>
      </c>
      <c r="C21" s="95">
        <v>49925</v>
      </c>
      <c r="D21" s="97">
        <f t="shared" si="0"/>
        <v>55</v>
      </c>
      <c r="E21" s="95">
        <v>42201</v>
      </c>
      <c r="F21" s="97">
        <f t="shared" si="1"/>
        <v>36</v>
      </c>
      <c r="G21" s="95">
        <v>35188</v>
      </c>
      <c r="H21" s="97">
        <f t="shared" si="2"/>
        <v>0</v>
      </c>
      <c r="I21" s="95">
        <v>28688</v>
      </c>
      <c r="J21" s="97">
        <f t="shared" si="3"/>
        <v>100</v>
      </c>
      <c r="K21" s="99">
        <f t="shared" si="4"/>
        <v>191</v>
      </c>
      <c r="L21" s="100"/>
      <c r="M21" s="111" t="s">
        <v>178</v>
      </c>
      <c r="N21" s="182"/>
      <c r="O21" s="176" t="s">
        <v>173</v>
      </c>
      <c r="P21" s="176"/>
    </row>
    <row r="22" spans="1:16" ht="49.5" customHeight="1" x14ac:dyDescent="0.25">
      <c r="A22" s="96">
        <v>14</v>
      </c>
      <c r="B22" s="174" t="s">
        <v>179</v>
      </c>
      <c r="C22" s="95">
        <v>49925</v>
      </c>
      <c r="D22" s="97">
        <f t="shared" si="0"/>
        <v>0</v>
      </c>
      <c r="E22" s="95">
        <v>42201</v>
      </c>
      <c r="F22" s="97">
        <f t="shared" si="1"/>
        <v>0</v>
      </c>
      <c r="G22" s="95">
        <v>35188</v>
      </c>
      <c r="H22" s="97">
        <f t="shared" si="2"/>
        <v>0</v>
      </c>
      <c r="I22" s="95">
        <v>28688</v>
      </c>
      <c r="J22" s="97">
        <f t="shared" si="3"/>
        <v>0</v>
      </c>
      <c r="K22" s="99">
        <f t="shared" si="4"/>
        <v>0</v>
      </c>
      <c r="L22" s="100"/>
      <c r="M22" s="106" t="s">
        <v>112</v>
      </c>
      <c r="N22" s="106" t="s">
        <v>112</v>
      </c>
      <c r="O22" s="106" t="s">
        <v>112</v>
      </c>
      <c r="P22" s="106" t="s">
        <v>112</v>
      </c>
    </row>
    <row r="23" spans="1:16" ht="49.5" customHeight="1" x14ac:dyDescent="0.25">
      <c r="A23" s="96">
        <v>15</v>
      </c>
      <c r="B23" s="174" t="s">
        <v>171</v>
      </c>
      <c r="C23" s="95">
        <v>50007</v>
      </c>
      <c r="D23" s="97">
        <f t="shared" si="0"/>
        <v>82</v>
      </c>
      <c r="E23" s="95">
        <v>42264</v>
      </c>
      <c r="F23" s="97">
        <f t="shared" si="1"/>
        <v>63</v>
      </c>
      <c r="G23" s="95">
        <v>35255</v>
      </c>
      <c r="H23" s="97">
        <f t="shared" si="2"/>
        <v>67</v>
      </c>
      <c r="I23" s="95">
        <v>28691</v>
      </c>
      <c r="J23" s="97">
        <f t="shared" si="3"/>
        <v>3</v>
      </c>
      <c r="K23" s="99">
        <f t="shared" si="4"/>
        <v>215</v>
      </c>
      <c r="L23" s="109"/>
      <c r="M23" s="176"/>
      <c r="N23" s="111"/>
      <c r="O23" s="111"/>
      <c r="P23" s="176"/>
    </row>
    <row r="24" spans="1:16" ht="49.5" customHeight="1" x14ac:dyDescent="0.25">
      <c r="A24" s="96">
        <v>16</v>
      </c>
      <c r="B24" s="174" t="s">
        <v>172</v>
      </c>
      <c r="C24" s="95">
        <v>50085</v>
      </c>
      <c r="D24" s="97">
        <f t="shared" si="0"/>
        <v>78</v>
      </c>
      <c r="E24" s="95">
        <v>42307</v>
      </c>
      <c r="F24" s="97">
        <f t="shared" si="1"/>
        <v>43</v>
      </c>
      <c r="G24" s="95">
        <v>35290</v>
      </c>
      <c r="H24" s="97">
        <f t="shared" si="2"/>
        <v>35</v>
      </c>
      <c r="I24" s="95">
        <v>28727</v>
      </c>
      <c r="J24" s="97">
        <f t="shared" si="3"/>
        <v>36</v>
      </c>
      <c r="K24" s="99">
        <f t="shared" si="4"/>
        <v>192</v>
      </c>
      <c r="L24" s="100"/>
      <c r="M24" s="111"/>
      <c r="N24" s="111"/>
      <c r="O24" s="176"/>
      <c r="P24" s="176"/>
    </row>
    <row r="25" spans="1:16" ht="49.5" customHeight="1" x14ac:dyDescent="0.25">
      <c r="A25" s="96">
        <v>17</v>
      </c>
      <c r="B25" s="174" t="s">
        <v>174</v>
      </c>
      <c r="C25" s="95">
        <v>50160</v>
      </c>
      <c r="D25" s="97">
        <f t="shared" si="0"/>
        <v>75</v>
      </c>
      <c r="E25" s="95">
        <v>42391</v>
      </c>
      <c r="F25" s="97">
        <f t="shared" si="1"/>
        <v>84</v>
      </c>
      <c r="G25" s="95">
        <v>35360</v>
      </c>
      <c r="H25" s="97">
        <f t="shared" si="2"/>
        <v>70</v>
      </c>
      <c r="I25" s="95">
        <v>28785</v>
      </c>
      <c r="J25" s="97">
        <f t="shared" si="3"/>
        <v>58</v>
      </c>
      <c r="K25" s="99">
        <f t="shared" si="4"/>
        <v>287</v>
      </c>
      <c r="L25" s="100"/>
      <c r="M25" s="111"/>
      <c r="N25" s="176"/>
      <c r="O25" s="106"/>
      <c r="P25" s="106"/>
    </row>
    <row r="26" spans="1:16" ht="49.5" customHeight="1" x14ac:dyDescent="0.25">
      <c r="A26" s="96">
        <v>18</v>
      </c>
      <c r="B26" s="174" t="s">
        <v>175</v>
      </c>
      <c r="C26" s="95">
        <v>50258</v>
      </c>
      <c r="D26" s="97">
        <f t="shared" si="0"/>
        <v>98</v>
      </c>
      <c r="E26" s="95">
        <v>42403</v>
      </c>
      <c r="F26" s="97">
        <f t="shared" si="1"/>
        <v>12</v>
      </c>
      <c r="G26" s="95">
        <v>35394</v>
      </c>
      <c r="H26" s="97">
        <f t="shared" si="2"/>
        <v>34</v>
      </c>
      <c r="I26" s="95">
        <v>28785</v>
      </c>
      <c r="J26" s="97">
        <f t="shared" si="3"/>
        <v>0</v>
      </c>
      <c r="K26" s="99">
        <f t="shared" si="4"/>
        <v>144</v>
      </c>
      <c r="L26" s="100"/>
      <c r="M26" s="111" t="s">
        <v>178</v>
      </c>
      <c r="N26" s="176"/>
      <c r="O26" s="105"/>
      <c r="P26" s="176" t="s">
        <v>173</v>
      </c>
    </row>
    <row r="27" spans="1:16" ht="57" customHeight="1" x14ac:dyDescent="0.25">
      <c r="A27" s="96">
        <v>19</v>
      </c>
      <c r="B27" s="174" t="s">
        <v>176</v>
      </c>
      <c r="C27" s="95">
        <v>50359</v>
      </c>
      <c r="D27" s="97">
        <f t="shared" si="0"/>
        <v>101</v>
      </c>
      <c r="E27" s="95">
        <v>42418</v>
      </c>
      <c r="F27" s="97">
        <f t="shared" si="1"/>
        <v>15</v>
      </c>
      <c r="G27" s="95">
        <v>35394</v>
      </c>
      <c r="H27" s="97">
        <f t="shared" si="2"/>
        <v>0</v>
      </c>
      <c r="I27" s="95">
        <v>28863</v>
      </c>
      <c r="J27" s="97">
        <f t="shared" si="3"/>
        <v>78</v>
      </c>
      <c r="K27" s="99">
        <f t="shared" si="4"/>
        <v>194</v>
      </c>
      <c r="L27" s="100"/>
      <c r="M27" s="111" t="s">
        <v>178</v>
      </c>
      <c r="N27" s="111"/>
      <c r="O27" s="176" t="s">
        <v>173</v>
      </c>
      <c r="P27" s="106"/>
    </row>
    <row r="28" spans="1:16" ht="49.5" customHeight="1" x14ac:dyDescent="0.25">
      <c r="A28" s="96">
        <v>20</v>
      </c>
      <c r="B28" s="174" t="s">
        <v>177</v>
      </c>
      <c r="C28" s="95">
        <v>50400</v>
      </c>
      <c r="D28" s="97">
        <f t="shared" si="0"/>
        <v>41</v>
      </c>
      <c r="E28" s="95">
        <v>42455</v>
      </c>
      <c r="F28" s="97">
        <f t="shared" si="1"/>
        <v>37</v>
      </c>
      <c r="G28" s="95">
        <v>35394</v>
      </c>
      <c r="H28" s="97">
        <f t="shared" si="2"/>
        <v>0</v>
      </c>
      <c r="I28" s="95">
        <v>28918</v>
      </c>
      <c r="J28" s="97">
        <f t="shared" si="3"/>
        <v>55</v>
      </c>
      <c r="K28" s="99">
        <f t="shared" si="4"/>
        <v>133</v>
      </c>
      <c r="L28" s="100"/>
      <c r="M28" s="111"/>
      <c r="N28" s="105"/>
      <c r="O28" s="176" t="s">
        <v>173</v>
      </c>
      <c r="P28" s="111"/>
    </row>
    <row r="29" spans="1:16" ht="49.5" customHeight="1" x14ac:dyDescent="0.25">
      <c r="A29" s="96">
        <v>21</v>
      </c>
      <c r="B29" s="174" t="s">
        <v>179</v>
      </c>
      <c r="C29" s="95">
        <v>50400</v>
      </c>
      <c r="D29" s="97">
        <f t="shared" si="0"/>
        <v>0</v>
      </c>
      <c r="E29" s="95">
        <v>42455</v>
      </c>
      <c r="F29" s="97">
        <f t="shared" si="1"/>
        <v>0</v>
      </c>
      <c r="G29" s="95">
        <v>35394</v>
      </c>
      <c r="H29" s="97">
        <f t="shared" si="2"/>
        <v>0</v>
      </c>
      <c r="I29" s="95">
        <v>28918</v>
      </c>
      <c r="J29" s="97">
        <f t="shared" si="3"/>
        <v>0</v>
      </c>
      <c r="K29" s="99">
        <f t="shared" si="4"/>
        <v>0</v>
      </c>
      <c r="L29" s="100"/>
      <c r="M29" s="106" t="s">
        <v>112</v>
      </c>
      <c r="N29" s="106" t="s">
        <v>112</v>
      </c>
      <c r="O29" s="106" t="s">
        <v>112</v>
      </c>
      <c r="P29" s="106" t="s">
        <v>112</v>
      </c>
    </row>
    <row r="30" spans="1:16" ht="57" customHeight="1" x14ac:dyDescent="0.25">
      <c r="A30" s="96">
        <v>22</v>
      </c>
      <c r="B30" s="174" t="s">
        <v>171</v>
      </c>
      <c r="C30" s="95">
        <v>50475</v>
      </c>
      <c r="D30" s="97">
        <f t="shared" si="0"/>
        <v>75</v>
      </c>
      <c r="E30" s="95">
        <v>42525</v>
      </c>
      <c r="F30" s="97">
        <f t="shared" si="1"/>
        <v>70</v>
      </c>
      <c r="G30" s="95">
        <v>35457</v>
      </c>
      <c r="H30" s="97">
        <f t="shared" si="2"/>
        <v>63</v>
      </c>
      <c r="I30" s="95">
        <v>28926</v>
      </c>
      <c r="J30" s="97">
        <f t="shared" si="3"/>
        <v>8</v>
      </c>
      <c r="K30" s="99">
        <f t="shared" si="4"/>
        <v>216</v>
      </c>
      <c r="L30" s="100"/>
      <c r="M30" s="111"/>
      <c r="N30" s="105"/>
      <c r="O30" s="111"/>
      <c r="P30" s="176"/>
    </row>
    <row r="31" spans="1:16" ht="49.5" customHeight="1" x14ac:dyDescent="0.25">
      <c r="A31" s="96">
        <v>23</v>
      </c>
      <c r="B31" s="174" t="s">
        <v>172</v>
      </c>
      <c r="C31" s="95">
        <v>300</v>
      </c>
      <c r="D31" s="97">
        <f t="shared" si="0"/>
        <v>-50175</v>
      </c>
      <c r="E31" s="95">
        <v>6000</v>
      </c>
      <c r="F31" s="97">
        <f t="shared" si="1"/>
        <v>-36525</v>
      </c>
      <c r="G31" s="95"/>
      <c r="H31" s="97">
        <f t="shared" si="2"/>
        <v>-35457</v>
      </c>
      <c r="I31" s="95"/>
      <c r="J31" s="97">
        <f t="shared" si="3"/>
        <v>-28926</v>
      </c>
      <c r="K31" s="99">
        <f t="shared" si="4"/>
        <v>-151083</v>
      </c>
      <c r="L31" s="100"/>
      <c r="M31" s="111"/>
      <c r="N31" s="111"/>
      <c r="O31" s="111"/>
      <c r="P31" s="176"/>
    </row>
    <row r="32" spans="1:16" ht="49.5" customHeight="1" x14ac:dyDescent="0.25">
      <c r="A32" s="96">
        <v>24</v>
      </c>
      <c r="B32" s="174" t="s">
        <v>174</v>
      </c>
      <c r="C32" s="95"/>
      <c r="D32" s="97">
        <f t="shared" si="0"/>
        <v>-300</v>
      </c>
      <c r="E32" s="95"/>
      <c r="F32" s="97">
        <f t="shared" si="1"/>
        <v>-6000</v>
      </c>
      <c r="G32" s="95"/>
      <c r="H32" s="97">
        <f t="shared" si="2"/>
        <v>0</v>
      </c>
      <c r="I32" s="95"/>
      <c r="J32" s="97">
        <f t="shared" si="3"/>
        <v>0</v>
      </c>
      <c r="K32" s="99">
        <f t="shared" si="4"/>
        <v>-6300</v>
      </c>
      <c r="L32" s="100"/>
      <c r="M32" s="106"/>
      <c r="N32" s="106"/>
      <c r="O32" s="106"/>
      <c r="P32" s="106"/>
    </row>
    <row r="33" spans="1:18" ht="49.5" customHeight="1" x14ac:dyDescent="0.25">
      <c r="A33" s="96">
        <v>25</v>
      </c>
      <c r="B33" s="174" t="s">
        <v>175</v>
      </c>
      <c r="C33" s="95"/>
      <c r="D33" s="97">
        <f t="shared" si="0"/>
        <v>0</v>
      </c>
      <c r="E33" s="95"/>
      <c r="F33" s="97">
        <f t="shared" si="1"/>
        <v>0</v>
      </c>
      <c r="G33" s="95"/>
      <c r="H33" s="97">
        <f t="shared" si="2"/>
        <v>0</v>
      </c>
      <c r="I33" s="95"/>
      <c r="J33" s="97">
        <f t="shared" si="3"/>
        <v>0</v>
      </c>
      <c r="K33" s="99">
        <f t="shared" si="4"/>
        <v>0</v>
      </c>
      <c r="L33" s="100"/>
      <c r="M33" s="114"/>
      <c r="N33" s="176"/>
      <c r="O33" s="115"/>
      <c r="P33" s="105"/>
    </row>
    <row r="34" spans="1:18" ht="49.5" customHeight="1" x14ac:dyDescent="0.25">
      <c r="A34" s="96">
        <v>26</v>
      </c>
      <c r="B34" s="174" t="s">
        <v>176</v>
      </c>
      <c r="C34" s="95"/>
      <c r="D34" s="97">
        <f t="shared" si="0"/>
        <v>0</v>
      </c>
      <c r="E34" s="95"/>
      <c r="F34" s="97">
        <f t="shared" si="1"/>
        <v>0</v>
      </c>
      <c r="G34" s="95"/>
      <c r="H34" s="97">
        <f t="shared" si="2"/>
        <v>0</v>
      </c>
      <c r="I34" s="95"/>
      <c r="J34" s="97">
        <f t="shared" si="3"/>
        <v>0</v>
      </c>
      <c r="K34" s="99">
        <f t="shared" si="4"/>
        <v>0</v>
      </c>
      <c r="L34" s="100"/>
      <c r="M34" s="106"/>
      <c r="N34" s="183"/>
      <c r="O34" s="111"/>
      <c r="P34" s="106"/>
    </row>
    <row r="35" spans="1:18" ht="49.5" customHeight="1" x14ac:dyDescent="0.25">
      <c r="A35" s="96">
        <v>27</v>
      </c>
      <c r="B35" s="174" t="s">
        <v>177</v>
      </c>
      <c r="C35" s="95"/>
      <c r="D35" s="97">
        <f t="shared" si="0"/>
        <v>0</v>
      </c>
      <c r="E35" s="95">
        <v>300</v>
      </c>
      <c r="F35" s="97">
        <f t="shared" si="1"/>
        <v>300</v>
      </c>
      <c r="G35" s="95"/>
      <c r="H35" s="97">
        <f t="shared" si="2"/>
        <v>0</v>
      </c>
      <c r="I35" s="95"/>
      <c r="J35" s="97">
        <f t="shared" si="3"/>
        <v>0</v>
      </c>
      <c r="K35" s="99">
        <f t="shared" si="4"/>
        <v>300</v>
      </c>
      <c r="L35" s="100"/>
      <c r="M35" s="114"/>
      <c r="N35" s="105"/>
      <c r="O35" s="183"/>
      <c r="P35" s="101"/>
    </row>
    <row r="36" spans="1:18" ht="49.5" customHeight="1" x14ac:dyDescent="0.25">
      <c r="A36" s="96">
        <v>28</v>
      </c>
      <c r="B36" s="174" t="s">
        <v>179</v>
      </c>
      <c r="C36" s="95"/>
      <c r="D36" s="97">
        <f t="shared" si="0"/>
        <v>0</v>
      </c>
      <c r="E36" s="95"/>
      <c r="F36" s="97">
        <f t="shared" si="1"/>
        <v>-300</v>
      </c>
      <c r="G36" s="95"/>
      <c r="H36" s="97">
        <f t="shared" si="2"/>
        <v>0</v>
      </c>
      <c r="I36" s="95"/>
      <c r="J36" s="97">
        <f t="shared" si="3"/>
        <v>0</v>
      </c>
      <c r="K36" s="99">
        <f t="shared" si="4"/>
        <v>-300</v>
      </c>
      <c r="L36" s="100"/>
      <c r="M36" s="111"/>
      <c r="N36" s="106"/>
      <c r="O36" s="176"/>
      <c r="P36" s="111"/>
      <c r="R36" s="116"/>
    </row>
    <row r="37" spans="1:18" ht="49.5" customHeight="1" x14ac:dyDescent="0.25">
      <c r="A37" s="96">
        <v>29</v>
      </c>
      <c r="B37" s="174" t="s">
        <v>171</v>
      </c>
      <c r="C37" s="95"/>
      <c r="D37" s="97">
        <f t="shared" si="0"/>
        <v>0</v>
      </c>
      <c r="E37" s="95"/>
      <c r="F37" s="97">
        <f t="shared" si="1"/>
        <v>0</v>
      </c>
      <c r="G37" s="95"/>
      <c r="H37" s="97">
        <f t="shared" si="2"/>
        <v>0</v>
      </c>
      <c r="I37" s="95"/>
      <c r="J37" s="97">
        <f t="shared" si="3"/>
        <v>0</v>
      </c>
      <c r="K37" s="99">
        <f t="shared" si="4"/>
        <v>0</v>
      </c>
      <c r="L37" s="100"/>
      <c r="M37" s="111"/>
      <c r="N37" s="111"/>
      <c r="O37" s="115"/>
      <c r="P37" s="176"/>
    </row>
    <row r="38" spans="1:18" ht="49.5" customHeight="1" x14ac:dyDescent="0.25">
      <c r="A38" s="96">
        <v>30</v>
      </c>
      <c r="B38" s="174" t="s">
        <v>172</v>
      </c>
      <c r="C38" s="95"/>
      <c r="D38" s="97">
        <f t="shared" si="0"/>
        <v>0</v>
      </c>
      <c r="E38" s="95"/>
      <c r="F38" s="97">
        <f t="shared" si="1"/>
        <v>0</v>
      </c>
      <c r="G38" s="95"/>
      <c r="H38" s="97">
        <f t="shared" si="2"/>
        <v>0</v>
      </c>
      <c r="I38" s="95"/>
      <c r="J38" s="97">
        <f t="shared" si="3"/>
        <v>0</v>
      </c>
      <c r="K38" s="99">
        <f t="shared" si="4"/>
        <v>0</v>
      </c>
      <c r="L38" s="100"/>
      <c r="M38" s="111"/>
      <c r="N38" s="111"/>
      <c r="O38" s="115"/>
      <c r="P38" s="112"/>
    </row>
    <row r="39" spans="1:18" ht="49.5" customHeight="1" thickBot="1" x14ac:dyDescent="0.3">
      <c r="A39" s="96"/>
      <c r="B39" s="174"/>
      <c r="C39" s="95"/>
      <c r="D39" s="97"/>
      <c r="E39" s="95"/>
      <c r="F39" s="97"/>
      <c r="G39" s="95"/>
      <c r="H39" s="97"/>
      <c r="I39" s="95"/>
      <c r="J39" s="97"/>
      <c r="K39" s="99"/>
      <c r="L39" s="100"/>
      <c r="M39" s="106"/>
      <c r="N39" s="106"/>
      <c r="O39" s="106"/>
      <c r="P39" s="106"/>
    </row>
    <row r="40" spans="1:18" ht="39.75" customHeight="1" thickBot="1" x14ac:dyDescent="0.35">
      <c r="A40" s="501" t="s">
        <v>180</v>
      </c>
      <c r="B40" s="435"/>
      <c r="C40" s="117"/>
      <c r="D40" s="118">
        <f>SUM(D9:D39)</f>
        <v>-49073</v>
      </c>
      <c r="E40" s="118"/>
      <c r="F40" s="118">
        <f>SUM(F9:F39)</f>
        <v>-41565</v>
      </c>
      <c r="G40" s="118"/>
      <c r="H40" s="118">
        <f>SUM(H9:H39)</f>
        <v>-34765</v>
      </c>
      <c r="I40" s="118"/>
      <c r="J40" s="118">
        <f>SUM(J9:J39)</f>
        <v>-28017</v>
      </c>
      <c r="K40" s="119">
        <f>SUM(K9:K39)</f>
        <v>-153420</v>
      </c>
      <c r="L40" s="120"/>
      <c r="M40" s="121"/>
      <c r="N40" s="121"/>
      <c r="O40" s="121"/>
      <c r="P40" s="121"/>
    </row>
    <row r="41" spans="1:18" ht="15.75" customHeight="1" x14ac:dyDescent="0.25"/>
    <row r="42" spans="1:18" ht="15.75" customHeight="1" x14ac:dyDescent="0.25"/>
    <row r="43" spans="1:18" ht="15.75" customHeight="1" x14ac:dyDescent="0.3">
      <c r="A43" s="1"/>
      <c r="B43" s="1"/>
    </row>
    <row r="44" spans="1:18" ht="15.75" customHeight="1" x14ac:dyDescent="0.3">
      <c r="A44" s="1"/>
      <c r="B44" s="1"/>
    </row>
    <row r="45" spans="1:18" ht="15.75" customHeight="1" x14ac:dyDescent="0.25"/>
    <row r="46" spans="1:18" ht="15.75" customHeight="1" x14ac:dyDescent="0.25"/>
    <row r="47" spans="1:18" ht="15.75" customHeight="1" x14ac:dyDescent="0.25"/>
    <row r="48" spans="1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A7:B8"/>
    <mergeCell ref="A40:B40"/>
    <mergeCell ref="P5:P8"/>
    <mergeCell ref="O5:O8"/>
    <mergeCell ref="A3:L3"/>
    <mergeCell ref="A6:B6"/>
    <mergeCell ref="A2:L2"/>
    <mergeCell ref="G7:H7"/>
    <mergeCell ref="I7:J7"/>
    <mergeCell ref="G6:H6"/>
    <mergeCell ref="L5:L8"/>
    <mergeCell ref="A4:L4"/>
    <mergeCell ref="N5:N8"/>
    <mergeCell ref="E6:F6"/>
    <mergeCell ref="A5:B5"/>
    <mergeCell ref="G5:H5"/>
    <mergeCell ref="I5:J5"/>
    <mergeCell ref="K7:K8"/>
    <mergeCell ref="C7:D7"/>
    <mergeCell ref="M5:M8"/>
    <mergeCell ref="C6:D6"/>
    <mergeCell ref="I6:J6"/>
    <mergeCell ref="C5:D5"/>
    <mergeCell ref="E5:F5"/>
    <mergeCell ref="E7:F7"/>
  </mergeCells>
  <dataValidations count="1">
    <dataValidation type="list" allowBlank="1" showErrorMessage="1" sqref="B9:B39" xr:uid="{00000000-0002-0000-0400-000000000000}">
      <formula1>"Sunday,Monday,Tuesday,Wednesday,Thursday,Friday,Saturday"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tabSelected="1" topLeftCell="A29" zoomScale="50" zoomScaleNormal="50" workbookViewId="0">
      <selection activeCell="I31" sqref="I31"/>
    </sheetView>
  </sheetViews>
  <sheetFormatPr defaultColWidth="12.5546875" defaultRowHeight="15" customHeight="1" x14ac:dyDescent="0.25"/>
  <cols>
    <col min="1" max="1" width="9.109375" customWidth="1"/>
    <col min="2" max="2" width="14.44140625" customWidth="1"/>
    <col min="3" max="3" width="15.6640625" customWidth="1"/>
    <col min="4" max="4" width="10.6640625" customWidth="1"/>
    <col min="5" max="5" width="15.6640625" customWidth="1"/>
    <col min="6" max="6" width="10.6640625" customWidth="1"/>
    <col min="7" max="7" width="15.6640625" customWidth="1"/>
    <col min="8" max="8" width="10.6640625" customWidth="1"/>
    <col min="9" max="9" width="13.6640625" customWidth="1"/>
    <col min="10" max="10" width="10.6640625" customWidth="1"/>
    <col min="12" max="12" width="48.5546875" customWidth="1"/>
    <col min="13" max="13" width="19.6640625" customWidth="1"/>
    <col min="14" max="14" width="21.109375" customWidth="1"/>
    <col min="15" max="15" width="21.44140625" customWidth="1"/>
    <col min="16" max="16" width="22.88671875" customWidth="1"/>
  </cols>
  <sheetData>
    <row r="1" spans="1:17" ht="81.75" customHeight="1" x14ac:dyDescent="0.25">
      <c r="A1" s="122"/>
    </row>
    <row r="2" spans="1:17" ht="24.75" customHeight="1" x14ac:dyDescent="0.25">
      <c r="A2" s="496" t="s">
        <v>124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51"/>
      <c r="M2" s="91"/>
      <c r="N2" s="91"/>
      <c r="O2" s="91"/>
      <c r="P2" s="91"/>
    </row>
    <row r="3" spans="1:17" ht="24.75" customHeight="1" x14ac:dyDescent="0.25">
      <c r="A3" s="502" t="s">
        <v>125</v>
      </c>
      <c r="B3" s="460"/>
      <c r="C3" s="460"/>
      <c r="D3" s="460"/>
      <c r="E3" s="460"/>
      <c r="F3" s="460"/>
      <c r="G3" s="460"/>
      <c r="H3" s="460"/>
      <c r="I3" s="460"/>
      <c r="J3" s="460"/>
      <c r="K3" s="460"/>
      <c r="L3" s="503"/>
      <c r="M3" s="92"/>
      <c r="N3" s="92"/>
      <c r="O3" s="92"/>
      <c r="P3" s="92"/>
    </row>
    <row r="4" spans="1:17" ht="24.75" customHeight="1" x14ac:dyDescent="0.25">
      <c r="A4" s="498" t="s">
        <v>159</v>
      </c>
      <c r="B4" s="469"/>
      <c r="C4" s="469"/>
      <c r="D4" s="469"/>
      <c r="E4" s="469"/>
      <c r="F4" s="469"/>
      <c r="G4" s="469"/>
      <c r="H4" s="469"/>
      <c r="I4" s="469"/>
      <c r="J4" s="469"/>
      <c r="K4" s="469"/>
      <c r="L4" s="435"/>
      <c r="M4" s="93"/>
      <c r="N4" s="93"/>
      <c r="O4" s="93"/>
      <c r="P4" s="93"/>
    </row>
    <row r="5" spans="1:17" ht="51" customHeight="1" x14ac:dyDescent="0.25">
      <c r="A5" s="492" t="s">
        <v>160</v>
      </c>
      <c r="B5" s="458"/>
      <c r="C5" s="492" t="s">
        <v>89</v>
      </c>
      <c r="D5" s="458"/>
      <c r="E5" s="492" t="s">
        <v>88</v>
      </c>
      <c r="F5" s="458"/>
      <c r="G5" s="492" t="s">
        <v>90</v>
      </c>
      <c r="H5" s="458"/>
      <c r="I5" s="492" t="s">
        <v>91</v>
      </c>
      <c r="J5" s="458"/>
      <c r="K5" s="172" t="s">
        <v>161</v>
      </c>
      <c r="L5" s="497" t="s">
        <v>162</v>
      </c>
      <c r="M5" s="490" t="s">
        <v>163</v>
      </c>
      <c r="N5" s="490" t="s">
        <v>164</v>
      </c>
      <c r="O5" s="490" t="s">
        <v>165</v>
      </c>
      <c r="P5" s="490" t="s">
        <v>166</v>
      </c>
    </row>
    <row r="6" spans="1:17" ht="36" customHeight="1" x14ac:dyDescent="0.25">
      <c r="A6" s="495" t="s">
        <v>167</v>
      </c>
      <c r="B6" s="464"/>
      <c r="C6" s="491">
        <v>200</v>
      </c>
      <c r="D6" s="464"/>
      <c r="E6" s="491">
        <v>200</v>
      </c>
      <c r="F6" s="464"/>
      <c r="G6" s="491">
        <v>200</v>
      </c>
      <c r="H6" s="464"/>
      <c r="I6" s="491">
        <v>200</v>
      </c>
      <c r="J6" s="464"/>
      <c r="K6" s="94">
        <f>SUM(C6:J6)</f>
        <v>800</v>
      </c>
      <c r="L6" s="446"/>
      <c r="M6" s="446"/>
      <c r="N6" s="446"/>
      <c r="O6" s="446"/>
      <c r="P6" s="446"/>
    </row>
    <row r="7" spans="1:17" ht="25.5" customHeight="1" x14ac:dyDescent="0.25">
      <c r="A7" s="504" t="s">
        <v>168</v>
      </c>
      <c r="B7" s="467"/>
      <c r="C7" s="490" t="s">
        <v>169</v>
      </c>
      <c r="D7" s="464"/>
      <c r="E7" s="490" t="s">
        <v>169</v>
      </c>
      <c r="F7" s="464"/>
      <c r="G7" s="490" t="s">
        <v>169</v>
      </c>
      <c r="H7" s="464"/>
      <c r="I7" s="490" t="s">
        <v>169</v>
      </c>
      <c r="J7" s="464"/>
      <c r="K7" s="499" t="s">
        <v>149</v>
      </c>
      <c r="L7" s="446"/>
      <c r="M7" s="446"/>
      <c r="N7" s="446"/>
      <c r="O7" s="446"/>
      <c r="P7" s="446"/>
    </row>
    <row r="8" spans="1:17" ht="33" customHeight="1" x14ac:dyDescent="0.25">
      <c r="A8" s="457"/>
      <c r="B8" s="505"/>
      <c r="C8" s="95">
        <v>47565</v>
      </c>
      <c r="D8" s="173" t="s">
        <v>170</v>
      </c>
      <c r="E8" s="95">
        <v>42351</v>
      </c>
      <c r="F8" s="123" t="s">
        <v>170</v>
      </c>
      <c r="G8" s="95">
        <v>35179</v>
      </c>
      <c r="H8" s="430" t="s">
        <v>170</v>
      </c>
      <c r="I8" s="95">
        <v>26968</v>
      </c>
      <c r="J8" s="124" t="s">
        <v>170</v>
      </c>
      <c r="K8" s="446"/>
      <c r="L8" s="447"/>
      <c r="M8" s="447"/>
      <c r="N8" s="447"/>
      <c r="O8" s="447"/>
      <c r="P8" s="447"/>
    </row>
    <row r="9" spans="1:17" ht="49.5" customHeight="1" x14ac:dyDescent="0.25">
      <c r="A9" s="96">
        <v>1</v>
      </c>
      <c r="B9" s="174" t="s">
        <v>171</v>
      </c>
      <c r="C9" s="95">
        <v>47655</v>
      </c>
      <c r="D9" s="98">
        <f t="shared" ref="D9:D38" si="0">C9-C8</f>
        <v>90</v>
      </c>
      <c r="E9" s="95">
        <v>42422</v>
      </c>
      <c r="F9" s="97">
        <f t="shared" ref="F9:F38" si="1">E9-E8</f>
        <v>71</v>
      </c>
      <c r="G9" s="95">
        <v>35234</v>
      </c>
      <c r="H9" s="97">
        <f t="shared" ref="H9:H38" si="2">G9-G8</f>
        <v>55</v>
      </c>
      <c r="I9" s="95">
        <v>27034</v>
      </c>
      <c r="J9" s="97">
        <f t="shared" ref="J9:J38" si="3">I9-I8</f>
        <v>66</v>
      </c>
      <c r="K9" s="99">
        <f t="shared" ref="K9:K38" si="4">D9+F9+H9+J9</f>
        <v>282</v>
      </c>
      <c r="L9" s="100"/>
      <c r="M9" s="179"/>
      <c r="N9" s="102"/>
      <c r="O9" s="176"/>
      <c r="P9" s="176"/>
    </row>
    <row r="10" spans="1:17" ht="49.5" customHeight="1" x14ac:dyDescent="0.25">
      <c r="A10" s="96">
        <v>2</v>
      </c>
      <c r="B10" s="174" t="s">
        <v>172</v>
      </c>
      <c r="C10" s="125">
        <v>47735</v>
      </c>
      <c r="D10" s="97">
        <f t="shared" si="0"/>
        <v>80</v>
      </c>
      <c r="E10" s="95">
        <v>42422</v>
      </c>
      <c r="F10" s="126">
        <f t="shared" si="1"/>
        <v>0</v>
      </c>
      <c r="G10" s="95">
        <v>35274</v>
      </c>
      <c r="H10" s="126">
        <f t="shared" si="2"/>
        <v>40</v>
      </c>
      <c r="I10" s="95">
        <v>27034</v>
      </c>
      <c r="J10" s="126">
        <f t="shared" si="3"/>
        <v>0</v>
      </c>
      <c r="K10" s="99">
        <f t="shared" si="4"/>
        <v>120</v>
      </c>
      <c r="L10" s="100"/>
      <c r="M10" s="105"/>
      <c r="N10" s="106" t="s">
        <v>112</v>
      </c>
      <c r="O10" s="176"/>
      <c r="P10" s="176" t="s">
        <v>173</v>
      </c>
    </row>
    <row r="11" spans="1:17" ht="65.25" customHeight="1" x14ac:dyDescent="0.25">
      <c r="A11" s="96">
        <v>3</v>
      </c>
      <c r="B11" s="174" t="s">
        <v>174</v>
      </c>
      <c r="C11" s="125">
        <v>47841</v>
      </c>
      <c r="D11" s="97">
        <f t="shared" si="0"/>
        <v>106</v>
      </c>
      <c r="E11" s="95">
        <v>42510</v>
      </c>
      <c r="F11" s="126">
        <f t="shared" si="1"/>
        <v>88</v>
      </c>
      <c r="G11" s="95">
        <v>35274</v>
      </c>
      <c r="H11" s="126">
        <f t="shared" si="2"/>
        <v>0</v>
      </c>
      <c r="I11" s="95">
        <v>27082</v>
      </c>
      <c r="J11" s="126">
        <f t="shared" si="3"/>
        <v>48</v>
      </c>
      <c r="K11" s="99">
        <f t="shared" si="4"/>
        <v>242</v>
      </c>
      <c r="L11" s="100"/>
      <c r="M11" s="106"/>
      <c r="N11" s="107"/>
      <c r="O11" s="176" t="s">
        <v>173</v>
      </c>
      <c r="P11" s="179"/>
    </row>
    <row r="12" spans="1:17" ht="63" customHeight="1" x14ac:dyDescent="0.25">
      <c r="A12" s="96">
        <v>4</v>
      </c>
      <c r="B12" s="174" t="s">
        <v>175</v>
      </c>
      <c r="C12" s="95">
        <v>47936</v>
      </c>
      <c r="D12" s="97">
        <f t="shared" si="0"/>
        <v>95</v>
      </c>
      <c r="E12" s="95">
        <v>42563</v>
      </c>
      <c r="F12" s="126">
        <f t="shared" si="1"/>
        <v>53</v>
      </c>
      <c r="G12" s="95">
        <v>35332</v>
      </c>
      <c r="H12" s="126">
        <f t="shared" si="2"/>
        <v>58</v>
      </c>
      <c r="I12" s="95">
        <v>27168</v>
      </c>
      <c r="J12" s="126">
        <f t="shared" si="3"/>
        <v>86</v>
      </c>
      <c r="K12" s="99">
        <f t="shared" si="4"/>
        <v>292</v>
      </c>
      <c r="L12" s="100"/>
      <c r="M12" s="105"/>
      <c r="N12" s="108"/>
      <c r="O12" s="176"/>
      <c r="P12" s="105"/>
    </row>
    <row r="13" spans="1:17" ht="63" customHeight="1" x14ac:dyDescent="0.25">
      <c r="A13" s="96">
        <v>5</v>
      </c>
      <c r="B13" s="174" t="s">
        <v>176</v>
      </c>
      <c r="C13" s="95">
        <v>47983</v>
      </c>
      <c r="D13" s="97">
        <f t="shared" si="0"/>
        <v>47</v>
      </c>
      <c r="E13" s="95">
        <v>42619</v>
      </c>
      <c r="F13" s="126">
        <f t="shared" si="1"/>
        <v>56</v>
      </c>
      <c r="G13" s="95">
        <v>35389</v>
      </c>
      <c r="H13" s="126">
        <f t="shared" si="2"/>
        <v>57</v>
      </c>
      <c r="I13" s="95">
        <v>27246</v>
      </c>
      <c r="J13" s="126">
        <f t="shared" si="3"/>
        <v>78</v>
      </c>
      <c r="K13" s="99">
        <f t="shared" si="4"/>
        <v>238</v>
      </c>
      <c r="L13" s="100"/>
      <c r="M13" s="176"/>
      <c r="N13" s="182"/>
      <c r="O13" s="176"/>
      <c r="P13" s="107"/>
    </row>
    <row r="14" spans="1:17" ht="49.5" customHeight="1" x14ac:dyDescent="0.25">
      <c r="A14" s="96">
        <v>6</v>
      </c>
      <c r="B14" s="174" t="s">
        <v>177</v>
      </c>
      <c r="C14" s="95">
        <v>48028</v>
      </c>
      <c r="D14" s="97">
        <f t="shared" si="0"/>
        <v>45</v>
      </c>
      <c r="E14" s="95">
        <v>42709</v>
      </c>
      <c r="F14" s="126">
        <f t="shared" si="1"/>
        <v>90</v>
      </c>
      <c r="G14" s="95">
        <v>35458</v>
      </c>
      <c r="H14" s="126">
        <f t="shared" si="2"/>
        <v>69</v>
      </c>
      <c r="I14" s="95">
        <v>27289</v>
      </c>
      <c r="J14" s="126">
        <f t="shared" si="3"/>
        <v>43</v>
      </c>
      <c r="K14" s="99">
        <f t="shared" si="4"/>
        <v>247</v>
      </c>
      <c r="L14" s="109"/>
      <c r="M14" s="102"/>
      <c r="N14" s="111"/>
      <c r="O14" s="111" t="s">
        <v>178</v>
      </c>
      <c r="P14" s="176"/>
    </row>
    <row r="15" spans="1:17" ht="49.5" customHeight="1" x14ac:dyDescent="0.25">
      <c r="A15" s="96">
        <v>7</v>
      </c>
      <c r="B15" s="174" t="s">
        <v>179</v>
      </c>
      <c r="C15" s="95">
        <v>48028</v>
      </c>
      <c r="D15" s="97">
        <f t="shared" si="0"/>
        <v>0</v>
      </c>
      <c r="E15" s="95">
        <v>42709</v>
      </c>
      <c r="F15" s="126">
        <f t="shared" si="1"/>
        <v>0</v>
      </c>
      <c r="G15" s="95">
        <v>35513</v>
      </c>
      <c r="H15" s="126">
        <f t="shared" si="2"/>
        <v>55</v>
      </c>
      <c r="I15" s="95">
        <v>27289</v>
      </c>
      <c r="J15" s="126">
        <f t="shared" si="3"/>
        <v>0</v>
      </c>
      <c r="K15" s="99">
        <f t="shared" si="4"/>
        <v>55</v>
      </c>
      <c r="L15" s="109"/>
      <c r="M15" s="106" t="s">
        <v>112</v>
      </c>
      <c r="N15" s="106" t="s">
        <v>112</v>
      </c>
      <c r="O15" s="111" t="s">
        <v>178</v>
      </c>
      <c r="P15" s="106" t="s">
        <v>112</v>
      </c>
    </row>
    <row r="16" spans="1:17" ht="49.5" customHeight="1" x14ac:dyDescent="0.25">
      <c r="A16" s="96">
        <v>8</v>
      </c>
      <c r="B16" s="174" t="s">
        <v>171</v>
      </c>
      <c r="C16" s="95">
        <v>48105</v>
      </c>
      <c r="D16" s="97">
        <f t="shared" si="0"/>
        <v>77</v>
      </c>
      <c r="E16" s="95">
        <v>42769</v>
      </c>
      <c r="F16" s="126">
        <f t="shared" si="1"/>
        <v>60</v>
      </c>
      <c r="G16" s="95">
        <v>35513</v>
      </c>
      <c r="H16" s="126">
        <f t="shared" si="2"/>
        <v>0</v>
      </c>
      <c r="I16" s="95">
        <v>27289</v>
      </c>
      <c r="J16" s="126">
        <f t="shared" si="3"/>
        <v>0</v>
      </c>
      <c r="K16" s="99">
        <f t="shared" si="4"/>
        <v>137</v>
      </c>
      <c r="L16" s="100"/>
      <c r="M16" s="181"/>
      <c r="N16" s="105"/>
      <c r="O16" s="106" t="s">
        <v>112</v>
      </c>
      <c r="P16" s="176" t="s">
        <v>173</v>
      </c>
      <c r="Q16" s="127"/>
    </row>
    <row r="17" spans="1:17" ht="49.5" customHeight="1" x14ac:dyDescent="0.25">
      <c r="A17" s="96">
        <v>9</v>
      </c>
      <c r="B17" s="174" t="s">
        <v>172</v>
      </c>
      <c r="C17" s="95">
        <v>48136</v>
      </c>
      <c r="D17" s="97">
        <f t="shared" si="0"/>
        <v>31</v>
      </c>
      <c r="E17" s="95">
        <v>42769</v>
      </c>
      <c r="F17" s="126">
        <f t="shared" si="1"/>
        <v>0</v>
      </c>
      <c r="G17" s="95">
        <v>35513</v>
      </c>
      <c r="H17" s="126">
        <f t="shared" si="2"/>
        <v>0</v>
      </c>
      <c r="I17" s="95">
        <v>27366</v>
      </c>
      <c r="J17" s="126">
        <f t="shared" si="3"/>
        <v>77</v>
      </c>
      <c r="K17" s="99">
        <f t="shared" si="4"/>
        <v>108</v>
      </c>
      <c r="L17" s="100"/>
      <c r="M17" s="105"/>
      <c r="N17" s="176" t="s">
        <v>173</v>
      </c>
      <c r="O17" s="176" t="s">
        <v>173</v>
      </c>
      <c r="P17" s="111" t="s">
        <v>178</v>
      </c>
      <c r="Q17" s="116"/>
    </row>
    <row r="18" spans="1:17" ht="49.5" customHeight="1" x14ac:dyDescent="0.25">
      <c r="A18" s="96">
        <v>10</v>
      </c>
      <c r="B18" s="174" t="s">
        <v>174</v>
      </c>
      <c r="C18" s="95">
        <v>48150</v>
      </c>
      <c r="D18" s="97">
        <f t="shared" si="0"/>
        <v>14</v>
      </c>
      <c r="E18" s="95">
        <v>42809</v>
      </c>
      <c r="F18" s="126">
        <f t="shared" si="1"/>
        <v>40</v>
      </c>
      <c r="G18" s="95">
        <v>35513</v>
      </c>
      <c r="H18" s="126">
        <f t="shared" si="2"/>
        <v>0</v>
      </c>
      <c r="I18" s="95">
        <v>27453</v>
      </c>
      <c r="J18" s="126">
        <f t="shared" si="3"/>
        <v>87</v>
      </c>
      <c r="K18" s="99">
        <f t="shared" si="4"/>
        <v>141</v>
      </c>
      <c r="L18" s="100"/>
      <c r="M18" s="106"/>
      <c r="N18" s="106"/>
      <c r="O18" s="176" t="s">
        <v>173</v>
      </c>
      <c r="P18" s="106"/>
    </row>
    <row r="19" spans="1:17" ht="60.75" customHeight="1" x14ac:dyDescent="0.25">
      <c r="A19" s="96">
        <v>11</v>
      </c>
      <c r="B19" s="174" t="s">
        <v>175</v>
      </c>
      <c r="C19" s="95">
        <v>48218</v>
      </c>
      <c r="D19" s="97">
        <f t="shared" si="0"/>
        <v>68</v>
      </c>
      <c r="E19" s="95">
        <v>42889</v>
      </c>
      <c r="F19" s="126">
        <f t="shared" si="1"/>
        <v>80</v>
      </c>
      <c r="G19" s="95">
        <v>35551</v>
      </c>
      <c r="H19" s="126">
        <f t="shared" si="2"/>
        <v>38</v>
      </c>
      <c r="I19" s="95">
        <v>27461</v>
      </c>
      <c r="J19" s="126">
        <f t="shared" si="3"/>
        <v>8</v>
      </c>
      <c r="K19" s="99">
        <f t="shared" si="4"/>
        <v>194</v>
      </c>
      <c r="L19" s="100"/>
      <c r="M19" s="105"/>
      <c r="N19" s="105"/>
      <c r="O19" s="182"/>
      <c r="P19" s="182"/>
    </row>
    <row r="20" spans="1:17" ht="49.5" customHeight="1" x14ac:dyDescent="0.25">
      <c r="A20" s="96">
        <v>12</v>
      </c>
      <c r="B20" s="174" t="s">
        <v>176</v>
      </c>
      <c r="C20" s="95">
        <v>48323</v>
      </c>
      <c r="D20" s="97">
        <f t="shared" si="0"/>
        <v>105</v>
      </c>
      <c r="E20" s="95">
        <v>42966</v>
      </c>
      <c r="F20" s="126">
        <f t="shared" si="1"/>
        <v>77</v>
      </c>
      <c r="G20" s="95">
        <v>35612</v>
      </c>
      <c r="H20" s="126">
        <f t="shared" si="2"/>
        <v>61</v>
      </c>
      <c r="I20" s="95">
        <v>27514</v>
      </c>
      <c r="J20" s="126">
        <f t="shared" si="3"/>
        <v>53</v>
      </c>
      <c r="K20" s="99">
        <f t="shared" si="4"/>
        <v>296</v>
      </c>
      <c r="L20" s="100"/>
      <c r="M20" s="111" t="s">
        <v>178</v>
      </c>
      <c r="N20" s="176"/>
      <c r="O20" s="111" t="s">
        <v>178</v>
      </c>
      <c r="P20" s="107"/>
    </row>
    <row r="21" spans="1:17" ht="62.25" customHeight="1" x14ac:dyDescent="0.25">
      <c r="A21" s="96">
        <v>13</v>
      </c>
      <c r="B21" s="174" t="s">
        <v>177</v>
      </c>
      <c r="C21" s="95">
        <v>48375</v>
      </c>
      <c r="D21" s="97">
        <f t="shared" si="0"/>
        <v>52</v>
      </c>
      <c r="E21" s="95">
        <v>43002</v>
      </c>
      <c r="F21" s="126">
        <f t="shared" si="1"/>
        <v>36</v>
      </c>
      <c r="G21" s="95">
        <v>35612</v>
      </c>
      <c r="H21" s="126">
        <f t="shared" si="2"/>
        <v>0</v>
      </c>
      <c r="I21" s="95">
        <v>27610</v>
      </c>
      <c r="J21" s="126">
        <f t="shared" si="3"/>
        <v>96</v>
      </c>
      <c r="K21" s="99">
        <f t="shared" si="4"/>
        <v>184</v>
      </c>
      <c r="L21" s="100"/>
      <c r="M21" s="111" t="s">
        <v>178</v>
      </c>
      <c r="N21" s="182"/>
      <c r="O21" s="176" t="s">
        <v>173</v>
      </c>
      <c r="P21" s="176"/>
    </row>
    <row r="22" spans="1:17" ht="49.5" customHeight="1" x14ac:dyDescent="0.25">
      <c r="A22" s="96">
        <v>14</v>
      </c>
      <c r="B22" s="174" t="s">
        <v>179</v>
      </c>
      <c r="C22" s="95">
        <v>48375</v>
      </c>
      <c r="D22" s="97">
        <f t="shared" si="0"/>
        <v>0</v>
      </c>
      <c r="E22" s="95">
        <v>43002</v>
      </c>
      <c r="F22" s="126">
        <f t="shared" si="1"/>
        <v>0</v>
      </c>
      <c r="G22" s="95">
        <v>35612</v>
      </c>
      <c r="H22" s="126">
        <f t="shared" si="2"/>
        <v>0</v>
      </c>
      <c r="I22" s="95">
        <v>27610</v>
      </c>
      <c r="J22" s="126">
        <f t="shared" si="3"/>
        <v>0</v>
      </c>
      <c r="K22" s="99">
        <f t="shared" si="4"/>
        <v>0</v>
      </c>
      <c r="L22" s="100"/>
      <c r="M22" s="106" t="s">
        <v>112</v>
      </c>
      <c r="N22" s="106" t="s">
        <v>112</v>
      </c>
      <c r="O22" s="106" t="s">
        <v>112</v>
      </c>
      <c r="P22" s="106" t="s">
        <v>112</v>
      </c>
    </row>
    <row r="23" spans="1:17" ht="49.5" customHeight="1" x14ac:dyDescent="0.25">
      <c r="A23" s="96">
        <v>15</v>
      </c>
      <c r="B23" s="174" t="s">
        <v>171</v>
      </c>
      <c r="C23" s="95">
        <v>48453</v>
      </c>
      <c r="D23" s="97">
        <f t="shared" si="0"/>
        <v>78</v>
      </c>
      <c r="E23" s="95">
        <v>43066</v>
      </c>
      <c r="F23" s="126">
        <f t="shared" si="1"/>
        <v>64</v>
      </c>
      <c r="G23" s="95">
        <v>35680</v>
      </c>
      <c r="H23" s="126">
        <f t="shared" si="2"/>
        <v>68</v>
      </c>
      <c r="I23" s="95">
        <v>27613</v>
      </c>
      <c r="J23" s="126">
        <f t="shared" si="3"/>
        <v>3</v>
      </c>
      <c r="K23" s="99">
        <f t="shared" si="4"/>
        <v>213</v>
      </c>
      <c r="L23" s="109"/>
      <c r="M23" s="176"/>
      <c r="N23" s="111"/>
      <c r="O23" s="111"/>
      <c r="P23" s="176"/>
    </row>
    <row r="24" spans="1:17" ht="49.5" customHeight="1" x14ac:dyDescent="0.25">
      <c r="A24" s="96">
        <v>16</v>
      </c>
      <c r="B24" s="174" t="s">
        <v>172</v>
      </c>
      <c r="C24" s="95">
        <v>48528</v>
      </c>
      <c r="D24" s="97">
        <f t="shared" si="0"/>
        <v>75</v>
      </c>
      <c r="E24" s="95">
        <v>43111</v>
      </c>
      <c r="F24" s="126">
        <f t="shared" si="1"/>
        <v>45</v>
      </c>
      <c r="G24" s="95">
        <v>35715</v>
      </c>
      <c r="H24" s="126">
        <f t="shared" si="2"/>
        <v>35</v>
      </c>
      <c r="I24" s="95">
        <v>27647</v>
      </c>
      <c r="J24" s="126">
        <f t="shared" si="3"/>
        <v>34</v>
      </c>
      <c r="K24" s="99">
        <f t="shared" si="4"/>
        <v>189</v>
      </c>
      <c r="L24" s="100"/>
      <c r="M24" s="179"/>
      <c r="N24" s="111"/>
      <c r="O24" s="176"/>
      <c r="P24" s="176"/>
    </row>
    <row r="25" spans="1:17" ht="49.5" customHeight="1" x14ac:dyDescent="0.25">
      <c r="A25" s="96">
        <v>17</v>
      </c>
      <c r="B25" s="174" t="s">
        <v>174</v>
      </c>
      <c r="C25" s="95">
        <v>48600</v>
      </c>
      <c r="D25" s="97">
        <f t="shared" si="0"/>
        <v>72</v>
      </c>
      <c r="E25" s="95">
        <v>43197</v>
      </c>
      <c r="F25" s="126">
        <f t="shared" si="1"/>
        <v>86</v>
      </c>
      <c r="G25" s="95">
        <v>35786</v>
      </c>
      <c r="H25" s="126">
        <f t="shared" si="2"/>
        <v>71</v>
      </c>
      <c r="I25" s="95">
        <v>27702</v>
      </c>
      <c r="J25" s="126">
        <f t="shared" si="3"/>
        <v>55</v>
      </c>
      <c r="K25" s="99">
        <f t="shared" si="4"/>
        <v>284</v>
      </c>
      <c r="L25" s="100"/>
      <c r="M25" s="179"/>
      <c r="N25" s="176"/>
      <c r="O25" s="106"/>
      <c r="P25" s="106"/>
    </row>
    <row r="26" spans="1:17" ht="49.5" customHeight="1" x14ac:dyDescent="0.25">
      <c r="A26" s="96">
        <v>18</v>
      </c>
      <c r="B26" s="174" t="s">
        <v>175</v>
      </c>
      <c r="C26" s="95">
        <v>48693</v>
      </c>
      <c r="D26" s="97">
        <f t="shared" si="0"/>
        <v>93</v>
      </c>
      <c r="E26" s="95">
        <v>43209</v>
      </c>
      <c r="F26" s="126">
        <f t="shared" si="1"/>
        <v>12</v>
      </c>
      <c r="G26" s="95">
        <v>35820</v>
      </c>
      <c r="H26" s="126">
        <f t="shared" si="2"/>
        <v>34</v>
      </c>
      <c r="I26" s="95">
        <v>27702</v>
      </c>
      <c r="J26" s="126">
        <f t="shared" si="3"/>
        <v>0</v>
      </c>
      <c r="K26" s="99">
        <f t="shared" si="4"/>
        <v>139</v>
      </c>
      <c r="L26" s="100"/>
      <c r="M26" s="111" t="s">
        <v>178</v>
      </c>
      <c r="N26" s="176"/>
      <c r="O26" s="105"/>
      <c r="P26" s="176" t="s">
        <v>173</v>
      </c>
    </row>
    <row r="27" spans="1:17" ht="49.5" customHeight="1" x14ac:dyDescent="0.25">
      <c r="A27" s="96">
        <v>19</v>
      </c>
      <c r="B27" s="174" t="s">
        <v>176</v>
      </c>
      <c r="C27" s="95">
        <v>48789</v>
      </c>
      <c r="D27" s="97">
        <f t="shared" si="0"/>
        <v>96</v>
      </c>
      <c r="E27" s="95">
        <v>43224</v>
      </c>
      <c r="F27" s="126">
        <f t="shared" si="1"/>
        <v>15</v>
      </c>
      <c r="G27" s="95">
        <v>35820</v>
      </c>
      <c r="H27" s="126">
        <f t="shared" si="2"/>
        <v>0</v>
      </c>
      <c r="I27" s="95">
        <v>27777</v>
      </c>
      <c r="J27" s="126">
        <f t="shared" si="3"/>
        <v>75</v>
      </c>
      <c r="K27" s="99">
        <f t="shared" si="4"/>
        <v>186</v>
      </c>
      <c r="L27" s="100"/>
      <c r="M27" s="111" t="s">
        <v>178</v>
      </c>
      <c r="N27" s="111"/>
      <c r="O27" s="176" t="s">
        <v>173</v>
      </c>
      <c r="P27" s="106"/>
    </row>
    <row r="28" spans="1:17" ht="49.5" customHeight="1" x14ac:dyDescent="0.25">
      <c r="A28" s="96">
        <v>20</v>
      </c>
      <c r="B28" s="174" t="s">
        <v>177</v>
      </c>
      <c r="C28" s="95">
        <v>48828</v>
      </c>
      <c r="D28" s="97">
        <f t="shared" si="0"/>
        <v>39</v>
      </c>
      <c r="E28" s="95">
        <v>43262</v>
      </c>
      <c r="F28" s="126">
        <f t="shared" si="1"/>
        <v>38</v>
      </c>
      <c r="G28" s="95">
        <v>35820</v>
      </c>
      <c r="H28" s="126">
        <f t="shared" si="2"/>
        <v>0</v>
      </c>
      <c r="I28" s="95">
        <v>27830</v>
      </c>
      <c r="J28" s="126">
        <f t="shared" si="3"/>
        <v>53</v>
      </c>
      <c r="K28" s="99">
        <f t="shared" si="4"/>
        <v>130</v>
      </c>
      <c r="L28" s="100"/>
      <c r="M28" s="102"/>
      <c r="N28" s="105"/>
      <c r="O28" s="176" t="s">
        <v>173</v>
      </c>
      <c r="P28" s="111"/>
    </row>
    <row r="29" spans="1:17" ht="49.5" customHeight="1" x14ac:dyDescent="0.25">
      <c r="A29" s="96">
        <v>21</v>
      </c>
      <c r="B29" s="174" t="s">
        <v>179</v>
      </c>
      <c r="C29" s="95">
        <v>48828</v>
      </c>
      <c r="D29" s="97">
        <f t="shared" si="0"/>
        <v>0</v>
      </c>
      <c r="E29" s="95">
        <v>43262</v>
      </c>
      <c r="F29" s="126">
        <f t="shared" si="1"/>
        <v>0</v>
      </c>
      <c r="G29" s="95">
        <v>35820</v>
      </c>
      <c r="H29" s="126">
        <f t="shared" si="2"/>
        <v>0</v>
      </c>
      <c r="I29" s="95">
        <v>27830</v>
      </c>
      <c r="J29" s="126">
        <f t="shared" si="3"/>
        <v>0</v>
      </c>
      <c r="K29" s="99">
        <f t="shared" si="4"/>
        <v>0</v>
      </c>
      <c r="L29" s="100"/>
      <c r="M29" s="106" t="s">
        <v>112</v>
      </c>
      <c r="N29" s="106" t="s">
        <v>112</v>
      </c>
      <c r="O29" s="106" t="s">
        <v>112</v>
      </c>
      <c r="P29" s="106" t="s">
        <v>112</v>
      </c>
    </row>
    <row r="30" spans="1:17" ht="54.75" customHeight="1" x14ac:dyDescent="0.25">
      <c r="A30" s="96">
        <v>22</v>
      </c>
      <c r="B30" s="174" t="s">
        <v>171</v>
      </c>
      <c r="C30" s="95">
        <v>48899</v>
      </c>
      <c r="D30" s="97">
        <f t="shared" si="0"/>
        <v>71</v>
      </c>
      <c r="E30" s="95">
        <v>43334</v>
      </c>
      <c r="F30" s="126">
        <f t="shared" si="1"/>
        <v>72</v>
      </c>
      <c r="G30" s="95">
        <v>35884</v>
      </c>
      <c r="H30" s="126">
        <f t="shared" si="2"/>
        <v>64</v>
      </c>
      <c r="I30" s="95">
        <v>27838</v>
      </c>
      <c r="J30" s="126">
        <f t="shared" si="3"/>
        <v>8</v>
      </c>
      <c r="K30" s="99">
        <f t="shared" si="4"/>
        <v>215</v>
      </c>
      <c r="L30" s="100"/>
      <c r="M30" s="111"/>
      <c r="N30" s="105"/>
      <c r="O30" s="111"/>
      <c r="P30" s="176"/>
    </row>
    <row r="31" spans="1:17" ht="49.5" customHeight="1" x14ac:dyDescent="0.25">
      <c r="A31" s="96">
        <v>23</v>
      </c>
      <c r="B31" s="174" t="s">
        <v>172</v>
      </c>
      <c r="C31" s="95">
        <v>200</v>
      </c>
      <c r="D31" s="97">
        <f t="shared" si="0"/>
        <v>-48699</v>
      </c>
      <c r="E31" s="95">
        <v>5000</v>
      </c>
      <c r="F31" s="126">
        <f t="shared" si="1"/>
        <v>-38334</v>
      </c>
      <c r="G31" s="95"/>
      <c r="H31" s="126">
        <f t="shared" si="2"/>
        <v>-35884</v>
      </c>
      <c r="I31" s="95"/>
      <c r="J31" s="126">
        <f t="shared" si="3"/>
        <v>-27838</v>
      </c>
      <c r="K31" s="99">
        <f t="shared" si="4"/>
        <v>-150755</v>
      </c>
      <c r="L31" s="100"/>
      <c r="M31" s="111"/>
      <c r="N31" s="111"/>
      <c r="O31" s="111"/>
      <c r="P31" s="176"/>
    </row>
    <row r="32" spans="1:17" ht="49.5" customHeight="1" x14ac:dyDescent="0.25">
      <c r="A32" s="96">
        <v>24</v>
      </c>
      <c r="B32" s="174" t="s">
        <v>174</v>
      </c>
      <c r="C32" s="95"/>
      <c r="D32" s="97">
        <f t="shared" si="0"/>
        <v>-200</v>
      </c>
      <c r="E32" s="95"/>
      <c r="F32" s="126">
        <f t="shared" si="1"/>
        <v>-5000</v>
      </c>
      <c r="G32" s="95"/>
      <c r="H32" s="126">
        <f t="shared" si="2"/>
        <v>0</v>
      </c>
      <c r="I32" s="95"/>
      <c r="J32" s="126">
        <f t="shared" si="3"/>
        <v>0</v>
      </c>
      <c r="K32" s="99">
        <f t="shared" si="4"/>
        <v>-5200</v>
      </c>
      <c r="L32" s="100"/>
      <c r="M32" s="106"/>
      <c r="N32" s="106"/>
      <c r="O32" s="106"/>
      <c r="P32" s="106"/>
    </row>
    <row r="33" spans="1:16" ht="49.5" customHeight="1" x14ac:dyDescent="0.25">
      <c r="A33" s="96">
        <v>25</v>
      </c>
      <c r="B33" s="174" t="s">
        <v>175</v>
      </c>
      <c r="C33" s="95"/>
      <c r="D33" s="97">
        <f t="shared" si="0"/>
        <v>0</v>
      </c>
      <c r="E33" s="95"/>
      <c r="F33" s="126">
        <f t="shared" si="1"/>
        <v>0</v>
      </c>
      <c r="G33" s="95"/>
      <c r="H33" s="126">
        <f t="shared" si="2"/>
        <v>0</v>
      </c>
      <c r="I33" s="95"/>
      <c r="J33" s="126">
        <f t="shared" si="3"/>
        <v>0</v>
      </c>
      <c r="K33" s="99">
        <f t="shared" si="4"/>
        <v>0</v>
      </c>
      <c r="L33" s="100"/>
      <c r="M33" s="114"/>
      <c r="N33" s="176"/>
      <c r="O33" s="115"/>
      <c r="P33" s="105"/>
    </row>
    <row r="34" spans="1:16" ht="65.25" customHeight="1" x14ac:dyDescent="0.25">
      <c r="A34" s="96">
        <v>26</v>
      </c>
      <c r="B34" s="174" t="s">
        <v>176</v>
      </c>
      <c r="C34" s="95"/>
      <c r="D34" s="97">
        <f t="shared" si="0"/>
        <v>0</v>
      </c>
      <c r="E34" s="95"/>
      <c r="F34" s="126">
        <f t="shared" si="1"/>
        <v>0</v>
      </c>
      <c r="G34" s="95"/>
      <c r="H34" s="126">
        <f t="shared" si="2"/>
        <v>0</v>
      </c>
      <c r="I34" s="95"/>
      <c r="J34" s="126">
        <f t="shared" si="3"/>
        <v>0</v>
      </c>
      <c r="K34" s="99">
        <f t="shared" si="4"/>
        <v>0</v>
      </c>
      <c r="L34" s="100"/>
      <c r="M34" s="106"/>
      <c r="N34" s="183"/>
      <c r="O34" s="111"/>
      <c r="P34" s="106"/>
    </row>
    <row r="35" spans="1:16" ht="65.25" customHeight="1" x14ac:dyDescent="0.25">
      <c r="A35" s="96">
        <v>27</v>
      </c>
      <c r="B35" s="174" t="s">
        <v>177</v>
      </c>
      <c r="C35" s="95"/>
      <c r="D35" s="97">
        <f t="shared" si="0"/>
        <v>0</v>
      </c>
      <c r="E35" s="95"/>
      <c r="F35" s="126">
        <f t="shared" si="1"/>
        <v>0</v>
      </c>
      <c r="G35" s="95"/>
      <c r="H35" s="126">
        <f t="shared" si="2"/>
        <v>0</v>
      </c>
      <c r="I35" s="95"/>
      <c r="J35" s="126">
        <f t="shared" si="3"/>
        <v>0</v>
      </c>
      <c r="K35" s="99">
        <f t="shared" si="4"/>
        <v>0</v>
      </c>
      <c r="L35" s="100"/>
      <c r="M35" s="114"/>
      <c r="N35" s="105"/>
      <c r="O35" s="183"/>
      <c r="P35" s="101"/>
    </row>
    <row r="36" spans="1:16" ht="65.25" customHeight="1" x14ac:dyDescent="0.25">
      <c r="A36" s="96">
        <v>28</v>
      </c>
      <c r="B36" s="174" t="s">
        <v>179</v>
      </c>
      <c r="C36" s="95"/>
      <c r="D36" s="97">
        <f t="shared" si="0"/>
        <v>0</v>
      </c>
      <c r="E36" s="95"/>
      <c r="F36" s="126">
        <f t="shared" si="1"/>
        <v>0</v>
      </c>
      <c r="G36" s="95"/>
      <c r="H36" s="126">
        <f t="shared" si="2"/>
        <v>0</v>
      </c>
      <c r="I36" s="95"/>
      <c r="J36" s="126">
        <f t="shared" si="3"/>
        <v>0</v>
      </c>
      <c r="K36" s="99">
        <f t="shared" si="4"/>
        <v>0</v>
      </c>
      <c r="L36" s="100"/>
      <c r="M36" s="111"/>
      <c r="N36" s="106"/>
      <c r="O36" s="176"/>
      <c r="P36" s="111"/>
    </row>
    <row r="37" spans="1:16" ht="65.25" customHeight="1" x14ac:dyDescent="0.25">
      <c r="A37" s="96">
        <v>29</v>
      </c>
      <c r="B37" s="174" t="s">
        <v>171</v>
      </c>
      <c r="C37" s="95"/>
      <c r="D37" s="97">
        <f t="shared" si="0"/>
        <v>0</v>
      </c>
      <c r="E37" s="95"/>
      <c r="F37" s="126">
        <f t="shared" si="1"/>
        <v>0</v>
      </c>
      <c r="G37" s="95"/>
      <c r="H37" s="126">
        <f t="shared" si="2"/>
        <v>0</v>
      </c>
      <c r="I37" s="95"/>
      <c r="J37" s="126">
        <f t="shared" si="3"/>
        <v>0</v>
      </c>
      <c r="K37" s="99">
        <f t="shared" si="4"/>
        <v>0</v>
      </c>
      <c r="L37" s="100"/>
      <c r="M37" s="111"/>
      <c r="N37" s="111"/>
      <c r="O37" s="115"/>
      <c r="P37" s="176"/>
    </row>
    <row r="38" spans="1:16" ht="65.25" customHeight="1" x14ac:dyDescent="0.25">
      <c r="A38" s="96">
        <v>30</v>
      </c>
      <c r="B38" s="174" t="s">
        <v>172</v>
      </c>
      <c r="C38" s="95"/>
      <c r="D38" s="97">
        <f t="shared" si="0"/>
        <v>0</v>
      </c>
      <c r="E38" s="95"/>
      <c r="F38" s="126">
        <f t="shared" si="1"/>
        <v>0</v>
      </c>
      <c r="G38" s="95"/>
      <c r="H38" s="126">
        <f t="shared" si="2"/>
        <v>0</v>
      </c>
      <c r="I38" s="95"/>
      <c r="J38" s="126">
        <f t="shared" si="3"/>
        <v>0</v>
      </c>
      <c r="K38" s="99">
        <f t="shared" si="4"/>
        <v>0</v>
      </c>
      <c r="L38" s="100"/>
      <c r="M38" s="111"/>
      <c r="N38" s="111"/>
      <c r="O38" s="115"/>
      <c r="P38" s="112"/>
    </row>
    <row r="39" spans="1:16" ht="49.5" customHeight="1" x14ac:dyDescent="0.25">
      <c r="A39" s="96"/>
      <c r="B39" s="174"/>
      <c r="C39" s="95"/>
      <c r="D39" s="97"/>
      <c r="E39" s="95"/>
      <c r="F39" s="126"/>
      <c r="G39" s="95"/>
      <c r="H39" s="126"/>
      <c r="I39" s="95"/>
      <c r="J39" s="126"/>
      <c r="K39" s="99"/>
      <c r="L39" s="100"/>
      <c r="M39" s="106"/>
      <c r="N39" s="106"/>
      <c r="O39" s="106"/>
      <c r="P39" s="106"/>
    </row>
    <row r="40" spans="1:16" ht="39.75" customHeight="1" x14ac:dyDescent="0.3">
      <c r="A40" s="501" t="s">
        <v>180</v>
      </c>
      <c r="B40" s="435"/>
      <c r="C40" s="117"/>
      <c r="D40" s="119">
        <f>SUM(D9:D39)</f>
        <v>-47565</v>
      </c>
      <c r="E40" s="118"/>
      <c r="F40" s="119">
        <f>SUM(F9:F39)</f>
        <v>-42351</v>
      </c>
      <c r="G40" s="118"/>
      <c r="H40" s="119">
        <f>SUM(H9:H39)</f>
        <v>-35179</v>
      </c>
      <c r="I40" s="118"/>
      <c r="J40" s="119">
        <f>SUM(J9:J39)</f>
        <v>-26968</v>
      </c>
      <c r="K40" s="119">
        <f>SUM(K9:K39)</f>
        <v>-152063</v>
      </c>
      <c r="L40" s="120"/>
      <c r="M40" s="121"/>
      <c r="N40" s="121"/>
      <c r="O40" s="121"/>
      <c r="P40" s="121"/>
    </row>
    <row r="41" spans="1:16" ht="15.75" customHeight="1" x14ac:dyDescent="0.25"/>
    <row r="42" spans="1:16" ht="15.75" customHeight="1" x14ac:dyDescent="0.25"/>
    <row r="43" spans="1:16" ht="15.75" customHeight="1" x14ac:dyDescent="0.3">
      <c r="B43" s="1"/>
      <c r="C43" s="1"/>
    </row>
    <row r="44" spans="1:16" ht="15.75" customHeight="1" x14ac:dyDescent="0.3">
      <c r="B44" s="1"/>
      <c r="C44" s="1"/>
    </row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A7:B8"/>
    <mergeCell ref="A40:B40"/>
    <mergeCell ref="P5:P8"/>
    <mergeCell ref="O5:O8"/>
    <mergeCell ref="A3:L3"/>
    <mergeCell ref="A6:B6"/>
    <mergeCell ref="A2:L2"/>
    <mergeCell ref="G7:H7"/>
    <mergeCell ref="I7:J7"/>
    <mergeCell ref="G6:H6"/>
    <mergeCell ref="L5:L8"/>
    <mergeCell ref="A4:L4"/>
    <mergeCell ref="N5:N8"/>
    <mergeCell ref="E6:F6"/>
    <mergeCell ref="A5:B5"/>
    <mergeCell ref="G5:H5"/>
    <mergeCell ref="I5:J5"/>
    <mergeCell ref="K7:K8"/>
    <mergeCell ref="C7:D7"/>
    <mergeCell ref="M5:M8"/>
    <mergeCell ref="C6:D6"/>
    <mergeCell ref="I6:J6"/>
    <mergeCell ref="C5:D5"/>
    <mergeCell ref="E5:F5"/>
    <mergeCell ref="E7:F7"/>
  </mergeCells>
  <dataValidations count="1">
    <dataValidation type="list" allowBlank="1" showErrorMessage="1" sqref="B9:B39" xr:uid="{00000000-0002-0000-0500-000000000000}">
      <formula1>"Sunday,Monday,Tuesday,Wednesday,Thursday,Friday,Saturday"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Dispatch instruction</vt:lpstr>
      <vt:lpstr> Daily Dispatch</vt:lpstr>
      <vt:lpstr>Water Quantity</vt:lpstr>
      <vt:lpstr>Water Quality</vt:lpstr>
      <vt:lpstr> Monthly production</vt:lpstr>
      <vt:lpstr>Second meter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Moataz ghazal</dc:creator>
  <cp:lastModifiedBy>mohamed medhat</cp:lastModifiedBy>
  <dcterms:created xsi:type="dcterms:W3CDTF">2025-09-16T08:30:12Z</dcterms:created>
  <dcterms:modified xsi:type="dcterms:W3CDTF">2025-11-23T09:11:49Z</dcterms:modified>
</cp:coreProperties>
</file>